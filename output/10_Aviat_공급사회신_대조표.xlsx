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8GHz_IAP3_2+0_대조" sheetId="2" state="visible" r:id="rId2"/>
    <sheet xmlns:r="http://schemas.openxmlformats.org/officeDocument/2006/relationships" name="8GHz_IAP3_4+0_대조" sheetId="3" state="visible" r:id="rId3"/>
    <sheet xmlns:r="http://schemas.openxmlformats.org/officeDocument/2006/relationships" name="11GHz_IAP3_2+0_대조" sheetId="4" state="visible" r:id="rId4"/>
    <sheet xmlns:r="http://schemas.openxmlformats.org/officeDocument/2006/relationships" name="11GHz_IAP3_4+0_대조" sheetId="5" state="visible" r:id="rId5"/>
    <sheet xmlns:r="http://schemas.openxmlformats.org/officeDocument/2006/relationships" name="요약" sheetId="6" state="visible" r:id="rId6"/>
  </sheets>
  <definedNames>
    <definedName name="_xlnm._FilterDatabase" localSheetId="0" hidden="1">'안내'!$A$1:$B$8</definedName>
    <definedName name="_xlnm._FilterDatabase" localSheetId="1" hidden="1">'8GHz_IAP3_2+0_대조'!$A$1:$M$20</definedName>
    <definedName name="_xlnm._FilterDatabase" localSheetId="2" hidden="1">'8GHz_IAP3_4+0_대조'!$A$1:$M$14</definedName>
    <definedName name="_xlnm._FilterDatabase" localSheetId="3" hidden="1">'11GHz_IAP3_2+0_대조'!$A$1:$M$42</definedName>
    <definedName name="_xlnm._FilterDatabase" localSheetId="4" hidden="1">'11GHz_IAP3_4+0_대조'!$A$1:$M$14</definedName>
    <definedName name="_xlnm._FilterDatabase" localSheetId="5" hidden="1">'요약'!$A$1:$G$5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목적</t>
        </is>
      </c>
      <c r="B2" s="2" t="inlineStr">
        <is>
          <t>애니콤(Aviat) 공급사 표준BoM 회신이 도착하면, 04v2에서 발주이력으로 추정한 8GHz/11GHz IAP3 2+0/4+0 후보와 바로 대조하기 위한 템플릿이다. 회신 전에는 '공급사 회신 수량'과 '공급사 회신단가' 열이 전부 공란이며, 임의로 채우지 않는다.</t>
        </is>
      </c>
    </row>
    <row r="3">
      <c r="A3" s="2" t="inlineStr">
        <is>
          <t>사용 방법</t>
        </is>
      </c>
      <c r="B3" s="2" t="inlineStr">
        <is>
          <t>1) 애니콤 회신에서 각 K코드(또는 품명이 동일한 품목)를 찾아 '공급사 회신 수량(파란 글씨 입력란)'에 입력한다. 2) 단가도 회신에 있으면 같은 방식으로 입력한다. 3) '수량 차이'·'일치 여부'·'단가 차이(%)' 열은 자동 계산된다.</t>
        </is>
      </c>
    </row>
    <row r="4">
      <c r="A4" s="2" t="inlineStr">
        <is>
          <t>K코드가 다를 경우</t>
        </is>
      </c>
      <c r="B4" s="2" t="inlineStr">
        <is>
          <t>애니콤 회신의 K코드가 여기 목록과 다르면(구코드/신코드 차이 등) 품명을 기준으로 대조하고, '비고'에 실제 매칭한 애니콤 코드를 적어둔다.</t>
        </is>
      </c>
    </row>
    <row r="5">
      <c r="A5" s="2" t="inlineStr">
        <is>
          <t>회신에만 있는 품목</t>
        </is>
      </c>
      <c r="B5" s="2" t="inlineStr">
        <is>
          <t>이 템플릿에 없는 품목이 애니콤 회신에 있으면, 각 시트 맨 아래에 새 행을 추가하고 '판정수준'에 '회신에만 있음'이라고 적는다 — 발주이력으로는 찾지 못했던 품목일 수 있으므로 특히 중요하게 봐야 한다.</t>
        </is>
      </c>
    </row>
    <row r="6">
      <c r="A6" s="2" t="inlineStr">
        <is>
          <t>판정수준 해석</t>
        </is>
      </c>
      <c r="B6" s="2" t="inlineStr">
        <is>
          <t>확정=계약서 텍스트에 구성 표기가 직접 있는 품목(멤버십만 확정, 수량은 이번에 처음 확인). 유력 후보=독립된 2개 이상 이벤트에서 반복 관측(11GHz 2+0의 6개 품목). 참고 후보=단일 이벤트 관측뿐이거나 다중대역이 섞인 관측(8GHz 2+0/4+0, 11GHz 4+0 전체).</t>
        </is>
      </c>
    </row>
    <row r="7">
      <c r="A7" s="2" t="inlineStr">
        <is>
          <t>대표수량 '변동, 공급사 확인 필요'</t>
        </is>
      </c>
      <c r="B7" s="2" t="inlineStr">
        <is>
          <t>발주이력상 관측 비율이 30% 이상 벌어져 대표 수량을 임의로 정하지 않은 품목이다. 이런 행은 '내부 대표수량' 셀이 연한 빨간색으로 표시되어 있다 - 회신 입력 전부터 눈에 띄도록 고정 표시한 것이며, 04v2 파일과 동일한 색상 규칙이다. 이런 행은 수량 차이를 계산하지 않고 '내부 추정 변동(비교 보류)'로 표시한다 - 애니콤 회신 수량을 그대로 신뢰하고 참고용으로만 기록한다(내부 추정과 다르다고 '차이 있음'으로 오판하지 말 것).</t>
        </is>
      </c>
    </row>
    <row r="8">
      <c r="A8" s="2" t="inlineStr">
        <is>
          <t>근거 파일</t>
        </is>
      </c>
      <c r="B8" s="2" t="inlineStr">
        <is>
          <t>각 행의 세부 근거(관측 이벤트ID·주문번호·관측 비율 목록)는 `04_Aviat_구성방식별_표준BoM_추정_v2.xlsx`의 해당 시트에서 K코드로 찾아보면 된다.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9" customWidth="1" min="4" max="4"/>
    <col width="19" customWidth="1" min="5" max="5"/>
    <col width="26" customWidth="1" min="6" max="6"/>
    <col width="11" customWidth="1" min="7" max="7"/>
    <col width="47" customWidth="1" min="8" max="8"/>
    <col width="60" customWidth="1" min="9" max="9"/>
    <col width="9" customWidth="1" min="10" max="10"/>
    <col width="10" customWidth="1" min="11" max="11"/>
    <col width="40" customWidth="1" min="12" max="12"/>
    <col width="8" customWidth="1" min="13" max="13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내부 판정수준</t>
        </is>
      </c>
      <c r="E1" s="1" t="inlineStr">
        <is>
          <t>내부 대표수량(1개 링크 기준)</t>
        </is>
      </c>
      <c r="F1" s="1" t="inlineStr">
        <is>
          <t>근거 이벤트ID</t>
        </is>
      </c>
      <c r="G1" s="1" t="inlineStr">
        <is>
          <t>공급사 회신 수량</t>
        </is>
      </c>
      <c r="H1" s="1" t="inlineStr">
        <is>
          <t>수량 차이</t>
        </is>
      </c>
      <c r="I1" s="1" t="inlineStr">
        <is>
          <t>일치 여부</t>
        </is>
      </c>
      <c r="J1" s="1" t="inlineStr">
        <is>
          <t>내부 판매단가</t>
        </is>
      </c>
      <c r="K1" s="1" t="inlineStr">
        <is>
          <t>공급사 회신단가</t>
        </is>
      </c>
      <c r="L1" s="1" t="inlineStr">
        <is>
          <t>단가 차이(%)</t>
        </is>
      </c>
      <c r="M1" s="1" t="inlineStr">
        <is>
          <t>비고</t>
        </is>
      </c>
    </row>
    <row r="2">
      <c r="A2" s="2" t="inlineStr">
        <is>
          <t>K9210279</t>
        </is>
      </c>
      <c r="B2" s="2" t="inlineStr">
        <is>
          <t>HAX_Gigabit Ethernet SFP</t>
        </is>
      </c>
      <c r="C2" s="2" t="inlineStr">
        <is>
          <t>SFP/Optical Module</t>
        </is>
      </c>
      <c r="D2" s="3" t="inlineStr">
        <is>
          <t>참고 후보</t>
        </is>
      </c>
      <c r="E2" s="2" t="n">
        <v>8</v>
      </c>
      <c r="F2" s="2" t="inlineStr">
        <is>
          <t>EVT-002+EVT-003, EVT-003</t>
        </is>
      </c>
      <c r="G2" s="4" t="n"/>
      <c r="H2" s="2">
        <f>IF(OR(G2="",NOT(ISNUMBER(E2))),"",G2-E2)</f>
        <v/>
      </c>
      <c r="I2" s="2">
        <f>IF(G2="","회신 대기",IF(NOT(ISNUMBER(E2)),"내부 추정 변동(비교 보류)",IF(G2=E2,"일치","차이 있음")))</f>
        <v/>
      </c>
      <c r="J2" s="5" t="n">
        <v>74180</v>
      </c>
      <c r="K2" s="6" t="n"/>
      <c r="L2" s="7">
        <f>IF(OR(K2="",J2=0),"",(K2-J2)/J2)</f>
        <v/>
      </c>
      <c r="M2" s="2" t="inlineStr"/>
    </row>
    <row r="3">
      <c r="A3" s="2" t="inlineStr">
        <is>
          <t>K9210281</t>
        </is>
      </c>
      <c r="B3" s="2" t="inlineStr">
        <is>
          <t>HAX_커넥터 KIT_IF 케이블 종단용</t>
        </is>
      </c>
      <c r="C3" s="2" t="inlineStr">
        <is>
          <t>Cable</t>
        </is>
      </c>
      <c r="D3" s="3" t="inlineStr">
        <is>
          <t>참고 후보</t>
        </is>
      </c>
      <c r="E3" s="2" t="n">
        <v>16</v>
      </c>
      <c r="F3" s="2" t="inlineStr">
        <is>
          <t>EVT-002+EVT-003, EVT-003</t>
        </is>
      </c>
      <c r="G3" s="4" t="n"/>
      <c r="H3" s="2">
        <f>IF(OR(G3="",NOT(ISNUMBER(E3))),"",G3-E3)</f>
        <v/>
      </c>
      <c r="I3" s="2">
        <f>IF(G3="","회신 대기",IF(NOT(ISNUMBER(E3)),"내부 추정 변동(비교 보류)",IF(G3=E3,"일치","차이 있음")))</f>
        <v/>
      </c>
      <c r="J3" s="5" t="n">
        <v>18000</v>
      </c>
      <c r="K3" s="6" t="n"/>
      <c r="L3" s="7">
        <f>IF(OR(K3="",J3=0),"",(K3-J3)/J3)</f>
        <v/>
      </c>
      <c r="M3" s="2" t="inlineStr"/>
    </row>
    <row r="4">
      <c r="A4" s="2" t="inlineStr">
        <is>
          <t>K9208730</t>
        </is>
      </c>
      <c r="B4" s="2" t="inlineStr">
        <is>
          <t>E1 Single Cable, 15m, for VR4/VR10</t>
        </is>
      </c>
      <c r="C4" s="2" t="inlineStr">
        <is>
          <t>Cable</t>
        </is>
      </c>
      <c r="D4" s="3" t="inlineStr">
        <is>
          <t>참고 후보</t>
        </is>
      </c>
      <c r="E4" s="2" t="n">
        <v>2</v>
      </c>
      <c r="F4" s="2" t="inlineStr">
        <is>
          <t>EVT-002+EVT-003, EVT-003</t>
        </is>
      </c>
      <c r="G4" s="4" t="n"/>
      <c r="H4" s="2">
        <f>IF(OR(G4="",NOT(ISNUMBER(E4))),"",G4-E4)</f>
        <v/>
      </c>
      <c r="I4" s="2">
        <f>IF(G4="","회신 대기",IF(NOT(ISNUMBER(E4)),"내부 추정 변동(비교 보류)",IF(G4=E4,"일치","차이 있음")))</f>
        <v/>
      </c>
      <c r="J4" s="5" t="n">
        <v>199525</v>
      </c>
      <c r="K4" s="6" t="n"/>
      <c r="L4" s="7">
        <f>IF(OR(K4="",J4=0),"",(K4-J4)/J4)</f>
        <v/>
      </c>
      <c r="M4" s="2" t="inlineStr"/>
    </row>
    <row r="5">
      <c r="A5" s="2" t="inlineStr">
        <is>
          <t>K9178534</t>
        </is>
      </c>
      <c r="B5" s="2" t="inlineStr">
        <is>
          <t>FLEXIBLE WAVEGUIDE, 7.125 - 8.500 GHZ, 1200MM, PDR84 FLANGES</t>
        </is>
      </c>
      <c r="C5" s="2" t="inlineStr">
        <is>
          <t>Waveguide</t>
        </is>
      </c>
      <c r="D5" s="3" t="inlineStr">
        <is>
          <t>참고 후보</t>
        </is>
      </c>
      <c r="E5" s="2" t="n">
        <v>6</v>
      </c>
      <c r="F5" s="2" t="inlineStr">
        <is>
          <t>EVT-002+EVT-003, EVT-003</t>
        </is>
      </c>
      <c r="G5" s="4" t="n"/>
      <c r="H5" s="2">
        <f>IF(OR(G5="",NOT(ISNUMBER(E5))),"",G5-E5)</f>
        <v/>
      </c>
      <c r="I5" s="2">
        <f>IF(G5="","회신 대기",IF(NOT(ISNUMBER(E5)),"내부 추정 변동(비교 보류)",IF(G5=E5,"일치","차이 있음")))</f>
        <v/>
      </c>
      <c r="J5" s="5" t="n">
        <v>750000</v>
      </c>
      <c r="K5" s="6" t="n"/>
      <c r="L5" s="7">
        <f>IF(OR(K5="",J5=0),"",(K5-J5)/J5)</f>
        <v/>
      </c>
      <c r="M5" s="2" t="inlineStr"/>
    </row>
    <row r="6">
      <c r="A6" s="2" t="inlineStr">
        <is>
          <t>K9208728</t>
        </is>
      </c>
      <c r="B6" s="2" t="inlineStr">
        <is>
          <t>7/8GHz IAP3 Mounting Bracket</t>
        </is>
      </c>
      <c r="C6" s="2" t="inlineStr">
        <is>
          <t>Mount/Bracket</t>
        </is>
      </c>
      <c r="D6" s="3" t="inlineStr">
        <is>
          <t>참고 후보</t>
        </is>
      </c>
      <c r="E6" s="2" t="n">
        <v>4</v>
      </c>
      <c r="F6" s="2" t="inlineStr">
        <is>
          <t>EVT-002+EVT-003, EVT-003</t>
        </is>
      </c>
      <c r="G6" s="4" t="n"/>
      <c r="H6" s="2">
        <f>IF(OR(G6="",NOT(ISNUMBER(E6))),"",G6-E6)</f>
        <v/>
      </c>
      <c r="I6" s="2">
        <f>IF(G6="","회신 대기",IF(NOT(ISNUMBER(E6)),"내부 추정 변동(비교 보류)",IF(G6=E6,"일치","차이 있음")))</f>
        <v/>
      </c>
      <c r="J6" s="5" t="n">
        <v>299584</v>
      </c>
      <c r="K6" s="6" t="n"/>
      <c r="L6" s="7">
        <f>IF(OR(K6="",J6=0),"",(K6-J6)/J6)</f>
        <v/>
      </c>
      <c r="M6" s="2" t="inlineStr"/>
    </row>
    <row r="7">
      <c r="A7" s="2" t="inlineStr">
        <is>
          <t>K9208726</t>
        </is>
      </c>
      <c r="B7" s="2" t="inlineStr">
        <is>
          <t>7/8GHz FLAT HYBRID 7.125, Direct, UMT,3.7dB</t>
        </is>
      </c>
      <c r="C7" s="2" t="inlineStr">
        <is>
          <t>Coupler/Hybrid</t>
        </is>
      </c>
      <c r="D7" s="3" t="inlineStr">
        <is>
          <t>참고 후보</t>
        </is>
      </c>
      <c r="E7" s="2" t="n">
        <v>2</v>
      </c>
      <c r="F7" s="2" t="inlineStr">
        <is>
          <t>EVT-002+EVT-003, EVT-003</t>
        </is>
      </c>
      <c r="G7" s="4" t="n"/>
      <c r="H7" s="2">
        <f>IF(OR(G7="",NOT(ISNUMBER(E7))),"",G7-E7)</f>
        <v/>
      </c>
      <c r="I7" s="2">
        <f>IF(G7="","회신 대기",IF(NOT(ISNUMBER(E7)),"내부 추정 변동(비교 보류)",IF(G7=E7,"일치","차이 있음")))</f>
        <v/>
      </c>
      <c r="J7" s="5" t="n">
        <v>1160933</v>
      </c>
      <c r="K7" s="6" t="n"/>
      <c r="L7" s="7">
        <f>IF(OR(K7="",J7=0),"",(K7-J7)/J7)</f>
        <v/>
      </c>
      <c r="M7" s="2" t="inlineStr"/>
    </row>
    <row r="8">
      <c r="A8" s="2" t="inlineStr">
        <is>
          <t>K9090174</t>
        </is>
      </c>
      <c r="B8" s="2" t="inlineStr">
        <is>
          <t>HAX_IDU/ODU간 IF 케이블,1Meter</t>
        </is>
      </c>
      <c r="C8" s="2" t="inlineStr">
        <is>
          <t>ODU/RFU</t>
        </is>
      </c>
      <c r="D8" s="3" t="inlineStr">
        <is>
          <t>참고 후보</t>
        </is>
      </c>
      <c r="E8" s="2" t="n">
        <v>600</v>
      </c>
      <c r="F8" s="2" t="inlineStr">
        <is>
          <t>EVT-002+EVT-003, EVT-003</t>
        </is>
      </c>
      <c r="G8" s="4" t="n"/>
      <c r="H8" s="2">
        <f>IF(OR(G8="",NOT(ISNUMBER(E8))),"",G8-E8)</f>
        <v/>
      </c>
      <c r="I8" s="2">
        <f>IF(G8="","회신 대기",IF(NOT(ISNUMBER(E8)),"내부 추정 변동(비교 보류)",IF(G8=E8,"일치","차이 있음")))</f>
        <v/>
      </c>
      <c r="J8" s="5" t="n">
        <v>2120</v>
      </c>
      <c r="K8" s="6" t="n"/>
      <c r="L8" s="7">
        <f>IF(OR(K8="",J8=0),"",(K8-J8)/J8)</f>
        <v/>
      </c>
      <c r="M8" s="2" t="inlineStr"/>
    </row>
    <row r="9">
      <c r="A9" s="2" t="inlineStr">
        <is>
          <t>K9208733</t>
        </is>
      </c>
      <c r="B9" s="2" t="inlineStr">
        <is>
          <t>VR4 Node License</t>
        </is>
      </c>
      <c r="C9" s="2" t="inlineStr">
        <is>
          <t>License</t>
        </is>
      </c>
      <c r="D9" s="3" t="inlineStr">
        <is>
          <t>참고 후보</t>
        </is>
      </c>
      <c r="E9" s="2" t="n">
        <v>2</v>
      </c>
      <c r="F9" s="2" t="inlineStr">
        <is>
          <t>EVT-002+EVT-003, EVT-003</t>
        </is>
      </c>
      <c r="G9" s="4" t="n"/>
      <c r="H9" s="2">
        <f>IF(OR(G9="",NOT(ISNUMBER(E9))),"",G9-E9)</f>
        <v/>
      </c>
      <c r="I9" s="2">
        <f>IF(G9="","회신 대기",IF(NOT(ISNUMBER(E9)),"내부 추정 변동(비교 보류)",IF(G9=E9,"일치","차이 있음")))</f>
        <v/>
      </c>
      <c r="J9" s="5" t="n">
        <v>525000</v>
      </c>
      <c r="K9" s="6" t="n"/>
      <c r="L9" s="7">
        <f>IF(OR(K9="",J9=0),"",(K9-J9)/J9)</f>
        <v/>
      </c>
      <c r="M9" s="2" t="inlineStr"/>
    </row>
    <row r="10">
      <c r="A10" s="2" t="inlineStr">
        <is>
          <t>K9208731</t>
        </is>
      </c>
      <c r="B10" s="2" t="inlineStr">
        <is>
          <t>MODEM INDOOR JUMBER CABLE, 3m, FOR VR4/VR10</t>
        </is>
      </c>
      <c r="C10" s="2" t="inlineStr">
        <is>
          <t>Modem</t>
        </is>
      </c>
      <c r="D10" s="3" t="inlineStr">
        <is>
          <t>참고 후보</t>
        </is>
      </c>
      <c r="E10" s="2" t="n">
        <v>4</v>
      </c>
      <c r="F10" s="2" t="inlineStr">
        <is>
          <t>EVT-002+EVT-003, EVT-003</t>
        </is>
      </c>
      <c r="G10" s="4" t="n"/>
      <c r="H10" s="2">
        <f>IF(OR(G10="",NOT(ISNUMBER(E10))),"",G10-E10)</f>
        <v/>
      </c>
      <c r="I10" s="2">
        <f>IF(G10="","회신 대기",IF(NOT(ISNUMBER(E10)),"내부 추정 변동(비교 보류)",IF(G10=E10,"일치","차이 있음")))</f>
        <v/>
      </c>
      <c r="J10" s="5" t="n">
        <v>59285</v>
      </c>
      <c r="K10" s="6" t="n"/>
      <c r="L10" s="7">
        <f>IF(OR(K10="",J10=0),"",(K10-J10)/J10)</f>
        <v/>
      </c>
      <c r="M10" s="2" t="inlineStr"/>
    </row>
    <row r="11">
      <c r="A11" s="2" t="inlineStr">
        <is>
          <t>K9208715</t>
        </is>
      </c>
      <c r="B11" s="2" t="inlineStr">
        <is>
          <t>8GHz ODU IAP3 HIGH</t>
        </is>
      </c>
      <c r="C11" s="2" t="inlineStr">
        <is>
          <t>ODU/RFU</t>
        </is>
      </c>
      <c r="D11" s="3" t="inlineStr">
        <is>
          <t>참고 후보</t>
        </is>
      </c>
      <c r="E11" s="2" t="n">
        <v>2</v>
      </c>
      <c r="F11" s="2" t="inlineStr">
        <is>
          <t>EVT-002+EVT-003, EVT-003</t>
        </is>
      </c>
      <c r="G11" s="4" t="n"/>
      <c r="H11" s="2">
        <f>IF(OR(G11="",NOT(ISNUMBER(E11))),"",G11-E11)</f>
        <v/>
      </c>
      <c r="I11" s="2">
        <f>IF(G11="","회신 대기",IF(NOT(ISNUMBER(E11)),"내부 추정 변동(비교 보류)",IF(G11=E11,"일치","차이 있음")))</f>
        <v/>
      </c>
      <c r="J11" s="5" t="n">
        <v>3051169</v>
      </c>
      <c r="K11" s="6" t="n"/>
      <c r="L11" s="7">
        <f>IF(OR(K11="",J11=0),"",(K11-J11)/J11)</f>
        <v/>
      </c>
      <c r="M11" s="2" t="inlineStr"/>
    </row>
    <row r="12">
      <c r="A12" s="2" t="inlineStr">
        <is>
          <t>K9208714</t>
        </is>
      </c>
      <c r="B12" s="2" t="inlineStr">
        <is>
          <t>8GHz ODU IAP3 LOW</t>
        </is>
      </c>
      <c r="C12" s="2" t="inlineStr">
        <is>
          <t>ODU/RFU</t>
        </is>
      </c>
      <c r="D12" s="3" t="inlineStr">
        <is>
          <t>참고 후보</t>
        </is>
      </c>
      <c r="E12" s="2" t="n">
        <v>2</v>
      </c>
      <c r="F12" s="2" t="inlineStr">
        <is>
          <t>EVT-002+EVT-003, EVT-003</t>
        </is>
      </c>
      <c r="G12" s="4" t="n"/>
      <c r="H12" s="2">
        <f>IF(OR(G12="",NOT(ISNUMBER(E12))),"",G12-E12)</f>
        <v/>
      </c>
      <c r="I12" s="2">
        <f>IF(G12="","회신 대기",IF(NOT(ISNUMBER(E12)),"내부 추정 변동(비교 보류)",IF(G12=E12,"일치","차이 있음")))</f>
        <v/>
      </c>
      <c r="J12" s="5" t="n">
        <v>3051169</v>
      </c>
      <c r="K12" s="6" t="n"/>
      <c r="L12" s="7">
        <f>IF(OR(K12="",J12=0),"",(K12-J12)/J12)</f>
        <v/>
      </c>
      <c r="M12" s="2" t="inlineStr"/>
    </row>
    <row r="13">
      <c r="A13" s="2" t="inlineStr">
        <is>
          <t>K9208706</t>
        </is>
      </c>
      <c r="B13" s="2" t="inlineStr">
        <is>
          <t>GbE4f-AV</t>
        </is>
      </c>
      <c r="C13" s="2" t="inlineStr">
        <is>
          <t>Interface Card</t>
        </is>
      </c>
      <c r="D13" s="3" t="inlineStr">
        <is>
          <t>참고 후보</t>
        </is>
      </c>
      <c r="E13" s="2" t="n">
        <v>2</v>
      </c>
      <c r="F13" s="2" t="inlineStr">
        <is>
          <t>EVT-002+EVT-003, EVT-003</t>
        </is>
      </c>
      <c r="G13" s="4" t="n"/>
      <c r="H13" s="2">
        <f>IF(OR(G13="",NOT(ISNUMBER(E13))),"",G13-E13)</f>
        <v/>
      </c>
      <c r="I13" s="2">
        <f>IF(G13="","회신 대기",IF(NOT(ISNUMBER(E13)),"내부 추정 변동(비교 보류)",IF(G13=E13,"일치","차이 있음")))</f>
        <v/>
      </c>
      <c r="J13" s="5" t="n">
        <v>927754</v>
      </c>
      <c r="K13" s="6" t="n"/>
      <c r="L13" s="7">
        <f>IF(OR(K13="",J13=0),"",(K13-J13)/J13)</f>
        <v/>
      </c>
      <c r="M13" s="2" t="inlineStr"/>
    </row>
    <row r="14">
      <c r="A14" s="2" t="inlineStr">
        <is>
          <t>K9208709</t>
        </is>
      </c>
      <c r="B14" s="2" t="inlineStr">
        <is>
          <t>16E1-A</t>
        </is>
      </c>
      <c r="C14" s="2" t="inlineStr">
        <is>
          <t>Interface Card</t>
        </is>
      </c>
      <c r="D14" s="3" t="inlineStr">
        <is>
          <t>참고 후보</t>
        </is>
      </c>
      <c r="E14" s="2" t="n">
        <v>2</v>
      </c>
      <c r="F14" s="2" t="inlineStr">
        <is>
          <t>EVT-002+EVT-003, EVT-003</t>
        </is>
      </c>
      <c r="G14" s="4" t="n"/>
      <c r="H14" s="2">
        <f>IF(OR(G14="",NOT(ISNUMBER(E14))),"",G14-E14)</f>
        <v/>
      </c>
      <c r="I14" s="2">
        <f>IF(G14="","회신 대기",IF(NOT(ISNUMBER(E14)),"내부 추정 변동(비교 보류)",IF(G14=E14,"일치","차이 있음")))</f>
        <v/>
      </c>
      <c r="J14" s="5" t="n">
        <v>950776</v>
      </c>
      <c r="K14" s="6" t="n"/>
      <c r="L14" s="7">
        <f>IF(OR(K14="",J14=0),"",(K14-J14)/J14)</f>
        <v/>
      </c>
      <c r="M14" s="2" t="inlineStr"/>
    </row>
    <row r="15">
      <c r="A15" s="2" t="inlineStr">
        <is>
          <t>K9208707</t>
        </is>
      </c>
      <c r="B15" s="2" t="inlineStr">
        <is>
          <t>GbE4e-AV</t>
        </is>
      </c>
      <c r="C15" s="2" t="inlineStr">
        <is>
          <t>Interface Card</t>
        </is>
      </c>
      <c r="D15" s="3" t="inlineStr">
        <is>
          <t>참고 후보</t>
        </is>
      </c>
      <c r="E15" s="2" t="n">
        <v>2</v>
      </c>
      <c r="F15" s="2" t="inlineStr">
        <is>
          <t>EVT-002+EVT-003, EVT-003</t>
        </is>
      </c>
      <c r="G15" s="4" t="n"/>
      <c r="H15" s="2">
        <f>IF(OR(G15="",NOT(ISNUMBER(E15))),"",G15-E15)</f>
        <v/>
      </c>
      <c r="I15" s="2">
        <f>IF(G15="","회신 대기",IF(NOT(ISNUMBER(E15)),"내부 추정 변동(비교 보류)",IF(G15=E15,"일치","차이 있음")))</f>
        <v/>
      </c>
      <c r="J15" s="5" t="n">
        <v>974141</v>
      </c>
      <c r="K15" s="6" t="n"/>
      <c r="L15" s="7">
        <f>IF(OR(K15="",J15=0),"",(K15-J15)/J15)</f>
        <v/>
      </c>
      <c r="M15" s="2" t="inlineStr"/>
    </row>
    <row r="16">
      <c r="A16" s="2" t="inlineStr">
        <is>
          <t>K9208699</t>
        </is>
      </c>
      <c r="B16" s="2" t="inlineStr">
        <is>
          <t>FAN-CV</t>
        </is>
      </c>
      <c r="C16" s="2" t="inlineStr">
        <is>
          <t>Fan</t>
        </is>
      </c>
      <c r="D16" s="3" t="inlineStr">
        <is>
          <t>참고 후보</t>
        </is>
      </c>
      <c r="E16" s="2" t="n">
        <v>2</v>
      </c>
      <c r="F16" s="2" t="inlineStr">
        <is>
          <t>EVT-002+EVT-003, EVT-003</t>
        </is>
      </c>
      <c r="G16" s="4" t="n"/>
      <c r="H16" s="2">
        <f>IF(OR(G16="",NOT(ISNUMBER(E16))),"",G16-E16)</f>
        <v/>
      </c>
      <c r="I16" s="2">
        <f>IF(G16="","회신 대기",IF(NOT(ISNUMBER(E16)),"내부 추정 변동(비교 보류)",IF(G16=E16,"일치","차이 있음")))</f>
        <v/>
      </c>
      <c r="J16" s="5" t="n">
        <v>174636</v>
      </c>
      <c r="K16" s="6" t="n"/>
      <c r="L16" s="7">
        <f>IF(OR(K16="",J16=0),"",(K16-J16)/J16)</f>
        <v/>
      </c>
      <c r="M16" s="2" t="inlineStr"/>
    </row>
    <row r="17">
      <c r="A17" s="2" t="inlineStr">
        <is>
          <t>K9208698</t>
        </is>
      </c>
      <c r="B17" s="2" t="inlineStr">
        <is>
          <t>VR4 1RU CHASSIS</t>
        </is>
      </c>
      <c r="C17" s="2" t="inlineStr">
        <is>
          <t>IDU/Chassis</t>
        </is>
      </c>
      <c r="D17" s="3" t="inlineStr">
        <is>
          <t>참고 후보</t>
        </is>
      </c>
      <c r="E17" s="2" t="n">
        <v>2</v>
      </c>
      <c r="F17" s="2" t="inlineStr">
        <is>
          <t>EVT-002+EVT-003, EVT-003</t>
        </is>
      </c>
      <c r="G17" s="4" t="n"/>
      <c r="H17" s="2">
        <f>IF(OR(G17="",NOT(ISNUMBER(E17))),"",G17-E17)</f>
        <v/>
      </c>
      <c r="I17" s="2">
        <f>IF(G17="","회신 대기",IF(NOT(ISNUMBER(E17)),"내부 추정 변동(비교 보류)",IF(G17=E17,"일치","차이 있음")))</f>
        <v/>
      </c>
      <c r="J17" s="5" t="n">
        <v>2442678</v>
      </c>
      <c r="K17" s="6" t="n"/>
      <c r="L17" s="7">
        <f>IF(OR(K17="",J17=0),"",(K17-J17)/J17)</f>
        <v/>
      </c>
      <c r="M17" s="2" t="inlineStr"/>
    </row>
    <row r="18">
      <c r="A18" s="2" t="inlineStr">
        <is>
          <t>K9193441</t>
        </is>
      </c>
      <c r="B18" s="2" t="inlineStr">
        <is>
          <t>AVIAT_ANT-HP-DP-10FT-8</t>
        </is>
      </c>
      <c r="C18" s="2" t="inlineStr">
        <is>
          <t>Antenna</t>
        </is>
      </c>
      <c r="D18" s="3" t="inlineStr">
        <is>
          <t>참고 후보</t>
        </is>
      </c>
      <c r="E18" s="2" t="n">
        <v>1</v>
      </c>
      <c r="F18" s="2" t="inlineStr">
        <is>
          <t>EVT-002+EVT-003, EVT-003</t>
        </is>
      </c>
      <c r="G18" s="4" t="n"/>
      <c r="H18" s="2">
        <f>IF(OR(G18="",NOT(ISNUMBER(E18))),"",G18-E18)</f>
        <v/>
      </c>
      <c r="I18" s="2">
        <f>IF(G18="","회신 대기",IF(NOT(ISNUMBER(E18)),"내부 추정 변동(비교 보류)",IF(G18=E18,"일치","차이 있음")))</f>
        <v/>
      </c>
      <c r="J18" s="5" t="n">
        <v>9100000</v>
      </c>
      <c r="K18" s="6" t="n"/>
      <c r="L18" s="7">
        <f>IF(OR(K18="",J18=0),"",(K18-J18)/J18)</f>
        <v/>
      </c>
      <c r="M18" s="2" t="inlineStr"/>
    </row>
    <row r="19">
      <c r="A19" s="2" t="inlineStr">
        <is>
          <t>K9193437</t>
        </is>
      </c>
      <c r="B19" s="2" t="inlineStr">
        <is>
          <t>AVIAT_ANT-HP-DP-6FT-8</t>
        </is>
      </c>
      <c r="C19" s="2" t="inlineStr">
        <is>
          <t>Antenna</t>
        </is>
      </c>
      <c r="D19" s="3" t="inlineStr">
        <is>
          <t>참고 후보</t>
        </is>
      </c>
      <c r="E19" s="2" t="n">
        <v>1</v>
      </c>
      <c r="F19" s="2" t="inlineStr">
        <is>
          <t>EVT-002+EVT-003, EVT-003</t>
        </is>
      </c>
      <c r="G19" s="4" t="n"/>
      <c r="H19" s="2">
        <f>IF(OR(G19="",NOT(ISNUMBER(E19))),"",G19-E19)</f>
        <v/>
      </c>
      <c r="I19" s="2">
        <f>IF(G19="","회신 대기",IF(NOT(ISNUMBER(E19)),"내부 추정 변동(비교 보류)",IF(G19=E19,"일치","차이 있음")))</f>
        <v/>
      </c>
      <c r="J19" s="5" t="n">
        <v>5000000</v>
      </c>
      <c r="K19" s="6" t="n"/>
      <c r="L19" s="7">
        <f>IF(OR(K19="",J19=0),"",(K19-J19)/J19)</f>
        <v/>
      </c>
      <c r="M19" s="2" t="inlineStr"/>
    </row>
    <row r="20">
      <c r="A20" s="2" t="inlineStr">
        <is>
          <t>K9210280</t>
        </is>
      </c>
      <c r="B20" s="2" t="inlineStr">
        <is>
          <t>HAX_Arrestor KIT("N"형 M,F콘넥터 각1EA 포함)</t>
        </is>
      </c>
      <c r="C20" s="2" t="inlineStr">
        <is>
          <t>Surge/Grounding</t>
        </is>
      </c>
      <c r="D20" s="3" t="inlineStr">
        <is>
          <t>참고 후보</t>
        </is>
      </c>
      <c r="E20" s="2" t="n">
        <v>16</v>
      </c>
      <c r="F20" s="2" t="inlineStr">
        <is>
          <t>EVT-002+EVT-003, EVT-003</t>
        </is>
      </c>
      <c r="G20" s="4" t="n"/>
      <c r="H20" s="2">
        <f>IF(OR(G20="",NOT(ISNUMBER(E20))),"",G20-E20)</f>
        <v/>
      </c>
      <c r="I20" s="2">
        <f>IF(G20="","회신 대기",IF(NOT(ISNUMBER(E20)),"내부 추정 변동(비교 보류)",IF(G20=E20,"일치","차이 있음")))</f>
        <v/>
      </c>
      <c r="J20" s="5" t="n">
        <v>126070</v>
      </c>
      <c r="K20" s="6" t="n"/>
      <c r="L20" s="7">
        <f>IF(OR(K20="",J20=0),"",(K20-J20)/J20)</f>
        <v/>
      </c>
      <c r="M20" s="2" t="inlineStr"/>
    </row>
  </sheetData>
  <autoFilter ref="A1:M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9" customWidth="1" min="4" max="4"/>
    <col width="19" customWidth="1" min="5" max="5"/>
    <col width="10" customWidth="1" min="6" max="6"/>
    <col width="11" customWidth="1" min="7" max="7"/>
    <col width="47" customWidth="1" min="8" max="8"/>
    <col width="60" customWidth="1" min="9" max="9"/>
    <col width="9" customWidth="1" min="10" max="10"/>
    <col width="10" customWidth="1" min="11" max="11"/>
    <col width="40" customWidth="1" min="12" max="12"/>
    <col width="8" customWidth="1" min="13" max="13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내부 판정수준</t>
        </is>
      </c>
      <c r="E1" s="1" t="inlineStr">
        <is>
          <t>내부 대표수량(1개 링크 기준)</t>
        </is>
      </c>
      <c r="F1" s="1" t="inlineStr">
        <is>
          <t>근거 이벤트ID</t>
        </is>
      </c>
      <c r="G1" s="1" t="inlineStr">
        <is>
          <t>공급사 회신 수량</t>
        </is>
      </c>
      <c r="H1" s="1" t="inlineStr">
        <is>
          <t>수량 차이</t>
        </is>
      </c>
      <c r="I1" s="1" t="inlineStr">
        <is>
          <t>일치 여부</t>
        </is>
      </c>
      <c r="J1" s="1" t="inlineStr">
        <is>
          <t>내부 판매단가</t>
        </is>
      </c>
      <c r="K1" s="1" t="inlineStr">
        <is>
          <t>공급사 회신단가</t>
        </is>
      </c>
      <c r="L1" s="1" t="inlineStr">
        <is>
          <t>단가 차이(%)</t>
        </is>
      </c>
      <c r="M1" s="1" t="inlineStr">
        <is>
          <t>비고</t>
        </is>
      </c>
    </row>
    <row r="2">
      <c r="A2" s="2" t="inlineStr">
        <is>
          <t>K9210279</t>
        </is>
      </c>
      <c r="B2" s="2" t="inlineStr">
        <is>
          <t>HAX_Gigabit Ethernet SFP</t>
        </is>
      </c>
      <c r="C2" s="2" t="inlineStr">
        <is>
          <t>SFP/Optical Module</t>
        </is>
      </c>
      <c r="D2" s="3" t="inlineStr">
        <is>
          <t>참고 후보</t>
        </is>
      </c>
      <c r="E2" s="2" t="n">
        <v>16</v>
      </c>
      <c r="F2" s="2" t="inlineStr">
        <is>
          <t>EVT-013</t>
        </is>
      </c>
      <c r="G2" s="4" t="n"/>
      <c r="H2" s="2">
        <f>IF(OR(G2="",NOT(ISNUMBER(E2))),"",G2-E2)</f>
        <v/>
      </c>
      <c r="I2" s="2">
        <f>IF(G2="","회신 대기",IF(NOT(ISNUMBER(E2)),"내부 추정 변동(비교 보류)",IF(G2=E2,"일치","차이 있음")))</f>
        <v/>
      </c>
      <c r="J2" s="5" t="n">
        <v>74180</v>
      </c>
      <c r="K2" s="6" t="n"/>
      <c r="L2" s="7">
        <f>IF(OR(K2="",J2=0),"",(K2-J2)/J2)</f>
        <v/>
      </c>
      <c r="M2" s="2" t="inlineStr"/>
    </row>
    <row r="3">
      <c r="A3" s="2" t="inlineStr">
        <is>
          <t>K9210281</t>
        </is>
      </c>
      <c r="B3" s="2" t="inlineStr">
        <is>
          <t>HAX_커넥터 KIT_IF 케이블 종단용</t>
        </is>
      </c>
      <c r="C3" s="2" t="inlineStr">
        <is>
          <t>Cable</t>
        </is>
      </c>
      <c r="D3" s="3" t="inlineStr">
        <is>
          <t>참고 후보</t>
        </is>
      </c>
      <c r="E3" s="2" t="n">
        <v>8</v>
      </c>
      <c r="F3" s="2" t="inlineStr">
        <is>
          <t>EVT-013</t>
        </is>
      </c>
      <c r="G3" s="4" t="n"/>
      <c r="H3" s="2">
        <f>IF(OR(G3="",NOT(ISNUMBER(E3))),"",G3-E3)</f>
        <v/>
      </c>
      <c r="I3" s="2">
        <f>IF(G3="","회신 대기",IF(NOT(ISNUMBER(E3)),"내부 추정 변동(비교 보류)",IF(G3=E3,"일치","차이 있음")))</f>
        <v/>
      </c>
      <c r="J3" s="5" t="n">
        <v>18000</v>
      </c>
      <c r="K3" s="6" t="n"/>
      <c r="L3" s="7">
        <f>IF(OR(K3="",J3=0),"",(K3-J3)/J3)</f>
        <v/>
      </c>
      <c r="M3" s="2" t="inlineStr"/>
    </row>
    <row r="4">
      <c r="A4" s="2" t="inlineStr">
        <is>
          <t>K9208728</t>
        </is>
      </c>
      <c r="B4" s="2" t="inlineStr">
        <is>
          <t>7/8GHz IAP3 Mounting Bracket</t>
        </is>
      </c>
      <c r="C4" s="2" t="inlineStr">
        <is>
          <t>Mount/Bracket</t>
        </is>
      </c>
      <c r="D4" s="3" t="inlineStr">
        <is>
          <t>참고 후보</t>
        </is>
      </c>
      <c r="E4" s="2" t="n">
        <v>4</v>
      </c>
      <c r="F4" s="2" t="inlineStr">
        <is>
          <t>EVT-013</t>
        </is>
      </c>
      <c r="G4" s="4" t="n"/>
      <c r="H4" s="2">
        <f>IF(OR(G4="",NOT(ISNUMBER(E4))),"",G4-E4)</f>
        <v/>
      </c>
      <c r="I4" s="2">
        <f>IF(G4="","회신 대기",IF(NOT(ISNUMBER(E4)),"내부 추정 변동(비교 보류)",IF(G4=E4,"일치","차이 있음")))</f>
        <v/>
      </c>
      <c r="J4" s="5" t="n">
        <v>299584</v>
      </c>
      <c r="K4" s="6" t="n"/>
      <c r="L4" s="7">
        <f>IF(OR(K4="",J4=0),"",(K4-J4)/J4)</f>
        <v/>
      </c>
      <c r="M4" s="2" t="inlineStr"/>
    </row>
    <row r="5">
      <c r="A5" s="2" t="inlineStr">
        <is>
          <t>K9208726</t>
        </is>
      </c>
      <c r="B5" s="2" t="inlineStr">
        <is>
          <t>7/8GHz FLAT HYBRID 7.125, Direct, UMT,3.7dB</t>
        </is>
      </c>
      <c r="C5" s="2" t="inlineStr">
        <is>
          <t>Coupler/Hybrid</t>
        </is>
      </c>
      <c r="D5" s="3" t="inlineStr">
        <is>
          <t>참고 후보</t>
        </is>
      </c>
      <c r="E5" s="2" t="n">
        <v>4</v>
      </c>
      <c r="F5" s="2" t="inlineStr">
        <is>
          <t>EVT-013</t>
        </is>
      </c>
      <c r="G5" s="4" t="n"/>
      <c r="H5" s="2">
        <f>IF(OR(G5="",NOT(ISNUMBER(E5))),"",G5-E5)</f>
        <v/>
      </c>
      <c r="I5" s="2">
        <f>IF(G5="","회신 대기",IF(NOT(ISNUMBER(E5)),"내부 추정 변동(비교 보류)",IF(G5=E5,"일치","차이 있음")))</f>
        <v/>
      </c>
      <c r="J5" s="5" t="n">
        <v>1160933</v>
      </c>
      <c r="K5" s="6" t="n"/>
      <c r="L5" s="7">
        <f>IF(OR(K5="",J5=0),"",(K5-J5)/J5)</f>
        <v/>
      </c>
      <c r="M5" s="2" t="inlineStr"/>
    </row>
    <row r="6">
      <c r="A6" s="2" t="inlineStr">
        <is>
          <t>K9178534</t>
        </is>
      </c>
      <c r="B6" s="2" t="inlineStr">
        <is>
          <t>FLEXIBLE WAVEGUIDE, 7.125 - 8.500 GHZ, 1200MM, PDR84 FLANGES</t>
        </is>
      </c>
      <c r="C6" s="2" t="inlineStr">
        <is>
          <t>Waveguide</t>
        </is>
      </c>
      <c r="D6" s="3" t="inlineStr">
        <is>
          <t>참고 후보</t>
        </is>
      </c>
      <c r="E6" s="2" t="n">
        <v>4</v>
      </c>
      <c r="F6" s="2" t="inlineStr">
        <is>
          <t>EVT-013</t>
        </is>
      </c>
      <c r="G6" s="4" t="n"/>
      <c r="H6" s="2">
        <f>IF(OR(G6="",NOT(ISNUMBER(E6))),"",G6-E6)</f>
        <v/>
      </c>
      <c r="I6" s="2">
        <f>IF(G6="","회신 대기",IF(NOT(ISNUMBER(E6)),"내부 추정 변동(비교 보류)",IF(G6=E6,"일치","차이 있음")))</f>
        <v/>
      </c>
      <c r="J6" s="5" t="n">
        <v>750000</v>
      </c>
      <c r="K6" s="6" t="n"/>
      <c r="L6" s="7">
        <f>IF(OR(K6="",J6=0),"",(K6-J6)/J6)</f>
        <v/>
      </c>
      <c r="M6" s="2" t="inlineStr"/>
    </row>
    <row r="7">
      <c r="A7" s="2" t="inlineStr">
        <is>
          <t>K9208733</t>
        </is>
      </c>
      <c r="B7" s="2" t="inlineStr">
        <is>
          <t>VR4 Node License</t>
        </is>
      </c>
      <c r="C7" s="2" t="inlineStr">
        <is>
          <t>License</t>
        </is>
      </c>
      <c r="D7" s="3" t="inlineStr">
        <is>
          <t>참고 후보</t>
        </is>
      </c>
      <c r="E7" s="2" t="n">
        <v>4</v>
      </c>
      <c r="F7" s="2" t="inlineStr">
        <is>
          <t>EVT-013</t>
        </is>
      </c>
      <c r="G7" s="4" t="n"/>
      <c r="H7" s="2">
        <f>IF(OR(G7="",NOT(ISNUMBER(E7))),"",G7-E7)</f>
        <v/>
      </c>
      <c r="I7" s="2">
        <f>IF(G7="","회신 대기",IF(NOT(ISNUMBER(E7)),"내부 추정 변동(비교 보류)",IF(G7=E7,"일치","차이 있음")))</f>
        <v/>
      </c>
      <c r="J7" s="5" t="n">
        <v>525000</v>
      </c>
      <c r="K7" s="6" t="n"/>
      <c r="L7" s="7">
        <f>IF(OR(K7="",J7=0),"",(K7-J7)/J7)</f>
        <v/>
      </c>
      <c r="M7" s="2" t="inlineStr"/>
    </row>
    <row r="8">
      <c r="A8" s="2" t="inlineStr">
        <is>
          <t>K9208731</t>
        </is>
      </c>
      <c r="B8" s="2" t="inlineStr">
        <is>
          <t>MODEM INDOOR JUMBER CABLE, 3m, FOR VR4/VR10</t>
        </is>
      </c>
      <c r="C8" s="2" t="inlineStr">
        <is>
          <t>Modem</t>
        </is>
      </c>
      <c r="D8" s="3" t="inlineStr">
        <is>
          <t>참고 후보</t>
        </is>
      </c>
      <c r="E8" s="2" t="n">
        <v>16</v>
      </c>
      <c r="F8" s="2" t="inlineStr">
        <is>
          <t>EVT-013</t>
        </is>
      </c>
      <c r="G8" s="4" t="n"/>
      <c r="H8" s="2">
        <f>IF(OR(G8="",NOT(ISNUMBER(E8))),"",G8-E8)</f>
        <v/>
      </c>
      <c r="I8" s="2">
        <f>IF(G8="","회신 대기",IF(NOT(ISNUMBER(E8)),"내부 추정 변동(비교 보류)",IF(G8=E8,"일치","차이 있음")))</f>
        <v/>
      </c>
      <c r="J8" s="5" t="n">
        <v>59285</v>
      </c>
      <c r="K8" s="6" t="n"/>
      <c r="L8" s="7">
        <f>IF(OR(K8="",J8=0),"",(K8-J8)/J8)</f>
        <v/>
      </c>
      <c r="M8" s="2" t="inlineStr"/>
    </row>
    <row r="9">
      <c r="A9" s="2" t="inlineStr">
        <is>
          <t>K9208715</t>
        </is>
      </c>
      <c r="B9" s="2" t="inlineStr">
        <is>
          <t>8GHz ODU IAP3 HIGH</t>
        </is>
      </c>
      <c r="C9" s="2" t="inlineStr">
        <is>
          <t>ODU/RFU</t>
        </is>
      </c>
      <c r="D9" s="3" t="inlineStr">
        <is>
          <t>참고 후보</t>
        </is>
      </c>
      <c r="E9" s="2" t="n">
        <v>4</v>
      </c>
      <c r="F9" s="2" t="inlineStr">
        <is>
          <t>EVT-013</t>
        </is>
      </c>
      <c r="G9" s="4" t="n"/>
      <c r="H9" s="2">
        <f>IF(OR(G9="",NOT(ISNUMBER(E9))),"",G9-E9)</f>
        <v/>
      </c>
      <c r="I9" s="2">
        <f>IF(G9="","회신 대기",IF(NOT(ISNUMBER(E9)),"내부 추정 변동(비교 보류)",IF(G9=E9,"일치","차이 있음")))</f>
        <v/>
      </c>
      <c r="J9" s="5" t="n">
        <v>3051169</v>
      </c>
      <c r="K9" s="6" t="n"/>
      <c r="L9" s="7">
        <f>IF(OR(K9="",J9=0),"",(K9-J9)/J9)</f>
        <v/>
      </c>
      <c r="M9" s="2" t="inlineStr"/>
    </row>
    <row r="10">
      <c r="A10" s="2" t="inlineStr">
        <is>
          <t>K9208714</t>
        </is>
      </c>
      <c r="B10" s="2" t="inlineStr">
        <is>
          <t>8GHz ODU IAP3 LOW</t>
        </is>
      </c>
      <c r="C10" s="2" t="inlineStr">
        <is>
          <t>ODU/RFU</t>
        </is>
      </c>
      <c r="D10" s="3" t="inlineStr">
        <is>
          <t>참고 후보</t>
        </is>
      </c>
      <c r="E10" s="2" t="n">
        <v>4</v>
      </c>
      <c r="F10" s="2" t="inlineStr">
        <is>
          <t>EVT-013</t>
        </is>
      </c>
      <c r="G10" s="4" t="n"/>
      <c r="H10" s="2">
        <f>IF(OR(G10="",NOT(ISNUMBER(E10))),"",G10-E10)</f>
        <v/>
      </c>
      <c r="I10" s="2">
        <f>IF(G10="","회신 대기",IF(NOT(ISNUMBER(E10)),"내부 추정 변동(비교 보류)",IF(G10=E10,"일치","차이 있음")))</f>
        <v/>
      </c>
      <c r="J10" s="5" t="n">
        <v>3051169</v>
      </c>
      <c r="K10" s="6" t="n"/>
      <c r="L10" s="7">
        <f>IF(OR(K10="",J10=0),"",(K10-J10)/J10)</f>
        <v/>
      </c>
      <c r="M10" s="2" t="inlineStr"/>
    </row>
    <row r="11">
      <c r="A11" s="2" t="inlineStr">
        <is>
          <t>K9208699</t>
        </is>
      </c>
      <c r="B11" s="2" t="inlineStr">
        <is>
          <t>FAN-CV</t>
        </is>
      </c>
      <c r="C11" s="2" t="inlineStr">
        <is>
          <t>Fan</t>
        </is>
      </c>
      <c r="D11" s="3" t="inlineStr">
        <is>
          <t>참고 후보</t>
        </is>
      </c>
      <c r="E11" s="2" t="n">
        <v>4</v>
      </c>
      <c r="F11" s="2" t="inlineStr">
        <is>
          <t>EVT-013</t>
        </is>
      </c>
      <c r="G11" s="4" t="n"/>
      <c r="H11" s="2">
        <f>IF(OR(G11="",NOT(ISNUMBER(E11))),"",G11-E11)</f>
        <v/>
      </c>
      <c r="I11" s="2">
        <f>IF(G11="","회신 대기",IF(NOT(ISNUMBER(E11)),"내부 추정 변동(비교 보류)",IF(G11=E11,"일치","차이 있음")))</f>
        <v/>
      </c>
      <c r="J11" s="5" t="n">
        <v>174636</v>
      </c>
      <c r="K11" s="6" t="n"/>
      <c r="L11" s="7">
        <f>IF(OR(K11="",J11=0),"",(K11-J11)/J11)</f>
        <v/>
      </c>
      <c r="M11" s="2" t="inlineStr"/>
    </row>
    <row r="12">
      <c r="A12" s="2" t="inlineStr">
        <is>
          <t>K9208698</t>
        </is>
      </c>
      <c r="B12" s="2" t="inlineStr">
        <is>
          <t>VR4 1RU CHASSIS</t>
        </is>
      </c>
      <c r="C12" s="2" t="inlineStr">
        <is>
          <t>IDU/Chassis</t>
        </is>
      </c>
      <c r="D12" s="3" t="inlineStr">
        <is>
          <t>참고 후보</t>
        </is>
      </c>
      <c r="E12" s="2" t="n">
        <v>4</v>
      </c>
      <c r="F12" s="2" t="inlineStr">
        <is>
          <t>EVT-013</t>
        </is>
      </c>
      <c r="G12" s="4" t="n"/>
      <c r="H12" s="2">
        <f>IF(OR(G12="",NOT(ISNUMBER(E12))),"",G12-E12)</f>
        <v/>
      </c>
      <c r="I12" s="2">
        <f>IF(G12="","회신 대기",IF(NOT(ISNUMBER(E12)),"내부 추정 변동(비교 보류)",IF(G12=E12,"일치","차이 있음")))</f>
        <v/>
      </c>
      <c r="J12" s="5" t="n">
        <v>2442678</v>
      </c>
      <c r="K12" s="6" t="n"/>
      <c r="L12" s="7">
        <f>IF(OR(K12="",J12=0),"",(K12-J12)/J12)</f>
        <v/>
      </c>
      <c r="M12" s="2" t="inlineStr"/>
    </row>
    <row r="13">
      <c r="A13" s="2" t="inlineStr">
        <is>
          <t>K9090174</t>
        </is>
      </c>
      <c r="B13" s="2" t="inlineStr">
        <is>
          <t>HAX_IDU/ODU간 IF 케이블,1Meter</t>
        </is>
      </c>
      <c r="C13" s="2" t="inlineStr">
        <is>
          <t>ODU/RFU</t>
        </is>
      </c>
      <c r="D13" s="3" t="inlineStr">
        <is>
          <t>참고 후보</t>
        </is>
      </c>
      <c r="E13" s="2" t="n">
        <v>240</v>
      </c>
      <c r="F13" s="2" t="inlineStr">
        <is>
          <t>EVT-013</t>
        </is>
      </c>
      <c r="G13" s="4" t="n"/>
      <c r="H13" s="2">
        <f>IF(OR(G13="",NOT(ISNUMBER(E13))),"",G13-E13)</f>
        <v/>
      </c>
      <c r="I13" s="2">
        <f>IF(G13="","회신 대기",IF(NOT(ISNUMBER(E13)),"내부 추정 변동(비교 보류)",IF(G13=E13,"일치","차이 있음")))</f>
        <v/>
      </c>
      <c r="J13" s="5" t="n">
        <v>2120</v>
      </c>
      <c r="K13" s="6" t="n"/>
      <c r="L13" s="7">
        <f>IF(OR(K13="",J13=0),"",(K13-J13)/J13)</f>
        <v/>
      </c>
      <c r="M13" s="2" t="inlineStr"/>
    </row>
    <row r="14">
      <c r="A14" s="2" t="inlineStr">
        <is>
          <t>K9210280</t>
        </is>
      </c>
      <c r="B14" s="2" t="inlineStr">
        <is>
          <t>HAX_Arrestor KIT("N"형 M,F콘넥터 각1EA 포함)</t>
        </is>
      </c>
      <c r="C14" s="2" t="inlineStr">
        <is>
          <t>Surge/Grounding</t>
        </is>
      </c>
      <c r="D14" s="3" t="inlineStr">
        <is>
          <t>참고 후보</t>
        </is>
      </c>
      <c r="E14" s="2" t="n">
        <v>8</v>
      </c>
      <c r="F14" s="2" t="inlineStr">
        <is>
          <t>EVT-013</t>
        </is>
      </c>
      <c r="G14" s="4" t="n"/>
      <c r="H14" s="2">
        <f>IF(OR(G14="",NOT(ISNUMBER(E14))),"",G14-E14)</f>
        <v/>
      </c>
      <c r="I14" s="2">
        <f>IF(G14="","회신 대기",IF(NOT(ISNUMBER(E14)),"내부 추정 변동(비교 보류)",IF(G14=E14,"일치","차이 있음")))</f>
        <v/>
      </c>
      <c r="J14" s="5" t="n">
        <v>126070</v>
      </c>
      <c r="K14" s="6" t="n"/>
      <c r="L14" s="7">
        <f>IF(OR(K14="",J14=0),"",(K14-J14)/J14)</f>
        <v/>
      </c>
      <c r="M14" s="2" t="inlineStr"/>
    </row>
  </sheetData>
  <autoFilter ref="A1:M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9" customWidth="1" min="4" max="4"/>
    <col width="19" customWidth="1" min="5" max="5"/>
    <col width="52" customWidth="1" min="6" max="6"/>
    <col width="11" customWidth="1" min="7" max="7"/>
    <col width="47" customWidth="1" min="8" max="8"/>
    <col width="60" customWidth="1" min="9" max="9"/>
    <col width="9" customWidth="1" min="10" max="10"/>
    <col width="10" customWidth="1" min="11" max="11"/>
    <col width="40" customWidth="1" min="12" max="12"/>
    <col width="8" customWidth="1" min="13" max="13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내부 판정수준</t>
        </is>
      </c>
      <c r="E1" s="1" t="inlineStr">
        <is>
          <t>내부 대표수량(1개 링크 기준)</t>
        </is>
      </c>
      <c r="F1" s="1" t="inlineStr">
        <is>
          <t>근거 이벤트ID</t>
        </is>
      </c>
      <c r="G1" s="1" t="inlineStr">
        <is>
          <t>공급사 회신 수량</t>
        </is>
      </c>
      <c r="H1" s="1" t="inlineStr">
        <is>
          <t>수량 차이</t>
        </is>
      </c>
      <c r="I1" s="1" t="inlineStr">
        <is>
          <t>일치 여부</t>
        </is>
      </c>
      <c r="J1" s="1" t="inlineStr">
        <is>
          <t>내부 판매단가</t>
        </is>
      </c>
      <c r="K1" s="1" t="inlineStr">
        <is>
          <t>공급사 회신단가</t>
        </is>
      </c>
      <c r="L1" s="1" t="inlineStr">
        <is>
          <t>단가 차이(%)</t>
        </is>
      </c>
      <c r="M1" s="1" t="inlineStr">
        <is>
          <t>비고</t>
        </is>
      </c>
    </row>
    <row r="2">
      <c r="A2" s="2" t="inlineStr">
        <is>
          <t>K9208729</t>
        </is>
      </c>
      <c r="B2" s="2" t="inlineStr">
        <is>
          <t>10/11GHz IAP3 Mounting Bracket</t>
        </is>
      </c>
      <c r="C2" s="2" t="inlineStr">
        <is>
          <t>Mount/Bracket</t>
        </is>
      </c>
      <c r="D2" s="8" t="inlineStr">
        <is>
          <t>유력 후보</t>
        </is>
      </c>
      <c r="E2" s="2" t="n">
        <v>2</v>
      </c>
      <c r="F2" s="2" t="inlineStr">
        <is>
          <t>EVT-006+EVT-007, EVT-007, EVT-010, EVT-010+EVT-011</t>
        </is>
      </c>
      <c r="G2" s="4" t="n"/>
      <c r="H2" s="2">
        <f>IF(OR(G2="",NOT(ISNUMBER(E2))),"",G2-E2)</f>
        <v/>
      </c>
      <c r="I2" s="2">
        <f>IF(G2="","회신 대기",IF(NOT(ISNUMBER(E2)),"내부 추정 변동(비교 보류)",IF(G2=E2,"일치","차이 있음")))</f>
        <v/>
      </c>
      <c r="J2" s="5" t="n">
        <v>299584</v>
      </c>
      <c r="K2" s="6" t="n"/>
      <c r="L2" s="7">
        <f>IF(OR(K2="",J2=0),"",(K2-J2)/J2)</f>
        <v/>
      </c>
      <c r="M2" s="2" t="inlineStr"/>
    </row>
    <row r="3">
      <c r="A3" s="2" t="inlineStr">
        <is>
          <t>K9208733</t>
        </is>
      </c>
      <c r="B3" s="2" t="inlineStr">
        <is>
          <t>VR4 Node License</t>
        </is>
      </c>
      <c r="C3" s="2" t="inlineStr">
        <is>
          <t>License</t>
        </is>
      </c>
      <c r="D3" s="8" t="inlineStr">
        <is>
          <t>유력 후보</t>
        </is>
      </c>
      <c r="E3" s="2" t="n">
        <v>2</v>
      </c>
      <c r="F3" s="2" t="inlineStr">
        <is>
          <t>EVT-006+EVT-007, EVT-007, EVT-010, EVT-010+EVT-011</t>
        </is>
      </c>
      <c r="G3" s="4" t="n"/>
      <c r="H3" s="2">
        <f>IF(OR(G3="",NOT(ISNUMBER(E3))),"",G3-E3)</f>
        <v/>
      </c>
      <c r="I3" s="2">
        <f>IF(G3="","회신 대기",IF(NOT(ISNUMBER(E3)),"내부 추정 변동(비교 보류)",IF(G3=E3,"일치","차이 있음")))</f>
        <v/>
      </c>
      <c r="J3" s="5" t="n">
        <v>525000</v>
      </c>
      <c r="K3" s="6" t="n"/>
      <c r="L3" s="7">
        <f>IF(OR(K3="",J3=0),"",(K3-J3)/J3)</f>
        <v/>
      </c>
      <c r="M3" s="2" t="inlineStr"/>
    </row>
    <row r="4">
      <c r="A4" s="2" t="inlineStr">
        <is>
          <t>K9208717</t>
        </is>
      </c>
      <c r="B4" s="2" t="inlineStr">
        <is>
          <t>11GHz ODU IAP3 HIGH</t>
        </is>
      </c>
      <c r="C4" s="2" t="inlineStr">
        <is>
          <t>ODU/RFU</t>
        </is>
      </c>
      <c r="D4" s="8" t="inlineStr">
        <is>
          <t>유력 후보</t>
        </is>
      </c>
      <c r="E4" s="2" t="n">
        <v>2</v>
      </c>
      <c r="F4" s="2" t="inlineStr">
        <is>
          <t>EVT-006+EVT-007, EVT-007, EVT-010, EVT-010+EVT-011</t>
        </is>
      </c>
      <c r="G4" s="4" t="n"/>
      <c r="H4" s="2">
        <f>IF(OR(G4="",NOT(ISNUMBER(E4))),"",G4-E4)</f>
        <v/>
      </c>
      <c r="I4" s="2">
        <f>IF(G4="","회신 대기",IF(NOT(ISNUMBER(E4)),"내부 추정 변동(비교 보류)",IF(G4=E4,"일치","차이 있음")))</f>
        <v/>
      </c>
      <c r="J4" s="5" t="n">
        <v>3051169</v>
      </c>
      <c r="K4" s="6" t="n"/>
      <c r="L4" s="7">
        <f>IF(OR(K4="",J4=0),"",(K4-J4)/J4)</f>
        <v/>
      </c>
      <c r="M4" s="2" t="inlineStr"/>
    </row>
    <row r="5">
      <c r="A5" s="2" t="inlineStr">
        <is>
          <t>K9208716</t>
        </is>
      </c>
      <c r="B5" s="2" t="inlineStr">
        <is>
          <t>11GHz ODU IAP3 LOW</t>
        </is>
      </c>
      <c r="C5" s="2" t="inlineStr">
        <is>
          <t>ODU/RFU</t>
        </is>
      </c>
      <c r="D5" s="8" t="inlineStr">
        <is>
          <t>유력 후보</t>
        </is>
      </c>
      <c r="E5" s="2" t="n">
        <v>2</v>
      </c>
      <c r="F5" s="2" t="inlineStr">
        <is>
          <t>EVT-006+EVT-007, EVT-007, EVT-010, EVT-010+EVT-011</t>
        </is>
      </c>
      <c r="G5" s="4" t="n"/>
      <c r="H5" s="2">
        <f>IF(OR(G5="",NOT(ISNUMBER(E5))),"",G5-E5)</f>
        <v/>
      </c>
      <c r="I5" s="2">
        <f>IF(G5="","회신 대기",IF(NOT(ISNUMBER(E5)),"내부 추정 변동(비교 보류)",IF(G5=E5,"일치","차이 있음")))</f>
        <v/>
      </c>
      <c r="J5" s="5" t="n">
        <v>3051169</v>
      </c>
      <c r="K5" s="6" t="n"/>
      <c r="L5" s="7">
        <f>IF(OR(K5="",J5=0),"",(K5-J5)/J5)</f>
        <v/>
      </c>
      <c r="M5" s="2" t="inlineStr"/>
    </row>
    <row r="6">
      <c r="A6" s="2" t="inlineStr">
        <is>
          <t>K9208699</t>
        </is>
      </c>
      <c r="B6" s="2" t="inlineStr">
        <is>
          <t>FAN-CV</t>
        </is>
      </c>
      <c r="C6" s="2" t="inlineStr">
        <is>
          <t>Fan</t>
        </is>
      </c>
      <c r="D6" s="8" t="inlineStr">
        <is>
          <t>유력 후보</t>
        </is>
      </c>
      <c r="E6" s="2" t="n">
        <v>2</v>
      </c>
      <c r="F6" s="2" t="inlineStr">
        <is>
          <t>EVT-006+EVT-007, EVT-007, EVT-010, EVT-010+EVT-011</t>
        </is>
      </c>
      <c r="G6" s="4" t="n"/>
      <c r="H6" s="2">
        <f>IF(OR(G6="",NOT(ISNUMBER(E6))),"",G6-E6)</f>
        <v/>
      </c>
      <c r="I6" s="2">
        <f>IF(G6="","회신 대기",IF(NOT(ISNUMBER(E6)),"내부 추정 변동(비교 보류)",IF(G6=E6,"일치","차이 있음")))</f>
        <v/>
      </c>
      <c r="J6" s="5" t="n">
        <v>174636</v>
      </c>
      <c r="K6" s="6" t="n"/>
      <c r="L6" s="7">
        <f>IF(OR(K6="",J6=0),"",(K6-J6)/J6)</f>
        <v/>
      </c>
      <c r="M6" s="2" t="inlineStr"/>
    </row>
    <row r="7">
      <c r="A7" s="2" t="inlineStr">
        <is>
          <t>K9208698</t>
        </is>
      </c>
      <c r="B7" s="2" t="inlineStr">
        <is>
          <t>VR4 1RU CHASSIS</t>
        </is>
      </c>
      <c r="C7" s="2" t="inlineStr">
        <is>
          <t>IDU/Chassis</t>
        </is>
      </c>
      <c r="D7" s="8" t="inlineStr">
        <is>
          <t>유력 후보</t>
        </is>
      </c>
      <c r="E7" s="2" t="n">
        <v>2</v>
      </c>
      <c r="F7" s="2" t="inlineStr">
        <is>
          <t>EVT-006+EVT-007, EVT-007, EVT-010, EVT-010+EVT-011</t>
        </is>
      </c>
      <c r="G7" s="4" t="n"/>
      <c r="H7" s="2">
        <f>IF(OR(G7="",NOT(ISNUMBER(E7))),"",G7-E7)</f>
        <v/>
      </c>
      <c r="I7" s="2">
        <f>IF(G7="","회신 대기",IF(NOT(ISNUMBER(E7)),"내부 추정 변동(비교 보류)",IF(G7=E7,"일치","차이 있음")))</f>
        <v/>
      </c>
      <c r="J7" s="5" t="n">
        <v>2442678</v>
      </c>
      <c r="K7" s="6" t="n"/>
      <c r="L7" s="7">
        <f>IF(OR(K7="",J7=0),"",(K7-J7)/J7)</f>
        <v/>
      </c>
      <c r="M7" s="2" t="inlineStr"/>
    </row>
    <row r="8">
      <c r="A8" s="2" t="inlineStr">
        <is>
          <t>K9210279</t>
        </is>
      </c>
      <c r="B8" s="2" t="inlineStr">
        <is>
          <t>HAX_Gigabit Ethernet SFP</t>
        </is>
      </c>
      <c r="C8" s="2" t="inlineStr">
        <is>
          <t>SFP/Optical Module</t>
        </is>
      </c>
      <c r="D8" s="3" t="inlineStr">
        <is>
          <t>참고 후보</t>
        </is>
      </c>
      <c r="E8" s="9" t="inlineStr">
        <is>
          <t>변동, 공급사 확인 필요</t>
        </is>
      </c>
      <c r="F8" s="2" t="inlineStr">
        <is>
          <t>EVT-006+EVT-007, EVT-007, EVT-010, EVT-010+EVT-011</t>
        </is>
      </c>
      <c r="G8" s="4" t="n"/>
      <c r="H8" s="2">
        <f>IF(OR(G8="",NOT(ISNUMBER(E8))),"",G8-E8)</f>
        <v/>
      </c>
      <c r="I8" s="2">
        <f>IF(G8="","회신 대기",IF(NOT(ISNUMBER(E8)),"내부 추정 변동(비교 보류)",IF(G8=E8,"일치","차이 있음")))</f>
        <v/>
      </c>
      <c r="J8" s="5" t="n">
        <v>74180</v>
      </c>
      <c r="K8" s="6" t="n"/>
      <c r="L8" s="7">
        <f>IF(OR(K8="",J8=0),"",(K8-J8)/J8)</f>
        <v/>
      </c>
      <c r="M8" s="2" t="inlineStr"/>
    </row>
    <row r="9">
      <c r="A9" s="2" t="inlineStr">
        <is>
          <t>K9210637</t>
        </is>
      </c>
      <c r="B9" s="2" t="inlineStr">
        <is>
          <t>HAX_MULTI ETHERNET CABLE 75M</t>
        </is>
      </c>
      <c r="C9" s="2" t="inlineStr">
        <is>
          <t>Cable</t>
        </is>
      </c>
      <c r="D9" s="3" t="inlineStr">
        <is>
          <t>참고 후보</t>
        </is>
      </c>
      <c r="E9" s="2" t="n">
        <v>8</v>
      </c>
      <c r="F9" s="2" t="inlineStr">
        <is>
          <t>EVT-006+EVT-007, EVT-007</t>
        </is>
      </c>
      <c r="G9" s="4" t="n"/>
      <c r="H9" s="2">
        <f>IF(OR(G9="",NOT(ISNUMBER(E9))),"",G9-E9)</f>
        <v/>
      </c>
      <c r="I9" s="2">
        <f>IF(G9="","회신 대기",IF(NOT(ISNUMBER(E9)),"내부 추정 변동(비교 보류)",IF(G9=E9,"일치","차이 있음")))</f>
        <v/>
      </c>
      <c r="J9" s="5" t="n">
        <v>1050000</v>
      </c>
      <c r="K9" s="6" t="n"/>
      <c r="L9" s="7">
        <f>IF(OR(K9="",J9=0),"",(K9-J9)/J9)</f>
        <v/>
      </c>
      <c r="M9" s="2" t="inlineStr"/>
    </row>
    <row r="10">
      <c r="A10" s="2" t="inlineStr">
        <is>
          <t>K9210635</t>
        </is>
      </c>
      <c r="B10" s="2" t="inlineStr">
        <is>
          <t>HAX_MULTI FIBER CABLE 75M</t>
        </is>
      </c>
      <c r="C10" s="2" t="inlineStr">
        <is>
          <t>Cable</t>
        </is>
      </c>
      <c r="D10" s="3" t="inlineStr">
        <is>
          <t>참고 후보</t>
        </is>
      </c>
      <c r="E10" s="2" t="n">
        <v>8</v>
      </c>
      <c r="F10" s="2" t="inlineStr">
        <is>
          <t>EVT-006+EVT-007, EVT-007</t>
        </is>
      </c>
      <c r="G10" s="4" t="n"/>
      <c r="H10" s="2">
        <f>IF(OR(G10="",NOT(ISNUMBER(E10))),"",G10-E10)</f>
        <v/>
      </c>
      <c r="I10" s="2">
        <f>IF(G10="","회신 대기",IF(NOT(ISNUMBER(E10)),"내부 추정 변동(비교 보류)",IF(G10=E10,"일치","차이 있음")))</f>
        <v/>
      </c>
      <c r="J10" s="5" t="n">
        <v>565000</v>
      </c>
      <c r="K10" s="6" t="n"/>
      <c r="L10" s="7">
        <f>IF(OR(K10="",J10=0),"",(K10-J10)/J10)</f>
        <v/>
      </c>
      <c r="M10" s="2" t="inlineStr"/>
    </row>
    <row r="11">
      <c r="A11" s="2" t="inlineStr">
        <is>
          <t>K9210633</t>
        </is>
      </c>
      <c r="B11" s="2" t="inlineStr">
        <is>
          <t>HAX_MULTI POWER CABLE 75M</t>
        </is>
      </c>
      <c r="C11" s="2" t="inlineStr">
        <is>
          <t>Cable</t>
        </is>
      </c>
      <c r="D11" s="3" t="inlineStr">
        <is>
          <t>참고 후보</t>
        </is>
      </c>
      <c r="E11" s="2" t="n">
        <v>8</v>
      </c>
      <c r="F11" s="2" t="inlineStr">
        <is>
          <t>EVT-006+EVT-007, EVT-007</t>
        </is>
      </c>
      <c r="G11" s="4" t="n"/>
      <c r="H11" s="2">
        <f>IF(OR(G11="",NOT(ISNUMBER(E11))),"",G11-E11)</f>
        <v/>
      </c>
      <c r="I11" s="2">
        <f>IF(G11="","회신 대기",IF(NOT(ISNUMBER(E11)),"내부 추정 변동(비교 보류)",IF(G11=E11,"일치","차이 있음")))</f>
        <v/>
      </c>
      <c r="J11" s="5" t="n">
        <v>1500000</v>
      </c>
      <c r="K11" s="6" t="n"/>
      <c r="L11" s="7">
        <f>IF(OR(K11="",J11=0),"",(K11-J11)/J11)</f>
        <v/>
      </c>
      <c r="M11" s="2" t="inlineStr"/>
    </row>
    <row r="12">
      <c r="A12" s="2" t="inlineStr">
        <is>
          <t>K9210281</t>
        </is>
      </c>
      <c r="B12" s="2" t="inlineStr">
        <is>
          <t>HAX_커넥터 KIT_IF 케이블 종단용</t>
        </is>
      </c>
      <c r="C12" s="2" t="inlineStr">
        <is>
          <t>Cable</t>
        </is>
      </c>
      <c r="D12" s="3" t="inlineStr">
        <is>
          <t>참고 후보</t>
        </is>
      </c>
      <c r="E12" s="2" t="n">
        <v>8</v>
      </c>
      <c r="F12" s="2" t="inlineStr">
        <is>
          <t>EVT-006+EVT-007, EVT-007</t>
        </is>
      </c>
      <c r="G12" s="4" t="n"/>
      <c r="H12" s="2">
        <f>IF(OR(G12="",NOT(ISNUMBER(E12))),"",G12-E12)</f>
        <v/>
      </c>
      <c r="I12" s="2">
        <f>IF(G12="","회신 대기",IF(NOT(ISNUMBER(E12)),"내부 추정 변동(비교 보류)",IF(G12=E12,"일치","차이 있음")))</f>
        <v/>
      </c>
      <c r="J12" s="5" t="n">
        <v>18000</v>
      </c>
      <c r="K12" s="6" t="n"/>
      <c r="L12" s="7">
        <f>IF(OR(K12="",J12=0),"",(K12-J12)/J12)</f>
        <v/>
      </c>
      <c r="M12" s="2" t="inlineStr"/>
    </row>
    <row r="13">
      <c r="A13" s="2" t="inlineStr">
        <is>
          <t>K9208730</t>
        </is>
      </c>
      <c r="B13" s="2" t="inlineStr">
        <is>
          <t>E1 Single Cable, 15m, for VR4/VR10</t>
        </is>
      </c>
      <c r="C13" s="2" t="inlineStr">
        <is>
          <t>Cable</t>
        </is>
      </c>
      <c r="D13" s="3" t="inlineStr">
        <is>
          <t>참고 후보</t>
        </is>
      </c>
      <c r="E13" s="2" t="n">
        <v>2</v>
      </c>
      <c r="F13" s="2" t="inlineStr">
        <is>
          <t>EVT-006+EVT-007, EVT-007</t>
        </is>
      </c>
      <c r="G13" s="4" t="n"/>
      <c r="H13" s="2">
        <f>IF(OR(G13="",NOT(ISNUMBER(E13))),"",G13-E13)</f>
        <v/>
      </c>
      <c r="I13" s="2">
        <f>IF(G13="","회신 대기",IF(NOT(ISNUMBER(E13)),"내부 추정 변동(비교 보류)",IF(G13=E13,"일치","차이 있음")))</f>
        <v/>
      </c>
      <c r="J13" s="5" t="n">
        <v>199525</v>
      </c>
      <c r="K13" s="6" t="n"/>
      <c r="L13" s="7">
        <f>IF(OR(K13="",J13=0),"",(K13-J13)/J13)</f>
        <v/>
      </c>
      <c r="M13" s="2" t="inlineStr"/>
    </row>
    <row r="14">
      <c r="A14" s="2" t="inlineStr">
        <is>
          <t>K9204026</t>
        </is>
      </c>
      <c r="B14" s="2" t="inlineStr">
        <is>
          <t>HAX_WEATHERPROOFING KIT</t>
        </is>
      </c>
      <c r="C14" s="2" t="inlineStr">
        <is>
          <t>기타</t>
        </is>
      </c>
      <c r="D14" s="3" t="inlineStr">
        <is>
          <t>참고 후보</t>
        </is>
      </c>
      <c r="E14" s="2" t="n">
        <v>16</v>
      </c>
      <c r="F14" s="2" t="inlineStr">
        <is>
          <t>EVT-006+EVT-007, EVT-007</t>
        </is>
      </c>
      <c r="G14" s="4" t="n"/>
      <c r="H14" s="2">
        <f>IF(OR(G14="",NOT(ISNUMBER(E14))),"",G14-E14)</f>
        <v/>
      </c>
      <c r="I14" s="2">
        <f>IF(G14="","회신 대기",IF(NOT(ISNUMBER(E14)),"내부 추정 변동(비교 보류)",IF(G14=E14,"일치","차이 있음")))</f>
        <v/>
      </c>
      <c r="J14" s="5" t="n">
        <v>20000</v>
      </c>
      <c r="K14" s="6" t="n"/>
      <c r="L14" s="7">
        <f>IF(OR(K14="",J14=0),"",(K14-J14)/J14)</f>
        <v/>
      </c>
      <c r="M14" s="2" t="inlineStr"/>
    </row>
    <row r="15">
      <c r="A15" s="2" t="inlineStr">
        <is>
          <t>K9208723</t>
        </is>
      </c>
      <c r="B15" s="2" t="inlineStr">
        <is>
          <t>TERMINAL UNIT</t>
        </is>
      </c>
      <c r="C15" s="2" t="inlineStr">
        <is>
          <t>기타</t>
        </is>
      </c>
      <c r="D15" s="3" t="inlineStr">
        <is>
          <t>참고 후보</t>
        </is>
      </c>
      <c r="E15" s="2" t="n">
        <v>24</v>
      </c>
      <c r="F15" s="2" t="inlineStr">
        <is>
          <t>EVT-006+EVT-007</t>
        </is>
      </c>
      <c r="G15" s="4" t="n"/>
      <c r="H15" s="2">
        <f>IF(OR(G15="",NOT(ISNUMBER(E15))),"",G15-E15)</f>
        <v/>
      </c>
      <c r="I15" s="2">
        <f>IF(G15="","회신 대기",IF(NOT(ISNUMBER(E15)),"내부 추정 변동(비교 보류)",IF(G15=E15,"일치","차이 있음")))</f>
        <v/>
      </c>
      <c r="J15" s="5" t="n">
        <v>104895</v>
      </c>
      <c r="K15" s="6" t="n"/>
      <c r="L15" s="7">
        <f>IF(OR(K15="",J15=0),"",(K15-J15)/J15)</f>
        <v/>
      </c>
      <c r="M15" s="2" t="inlineStr"/>
    </row>
    <row r="16">
      <c r="A16" s="2" t="inlineStr">
        <is>
          <t>K9208722</t>
        </is>
      </c>
      <c r="B16" s="2" t="inlineStr">
        <is>
          <t>U-LINK</t>
        </is>
      </c>
      <c r="C16" s="2" t="inlineStr">
        <is>
          <t>기타</t>
        </is>
      </c>
      <c r="D16" s="3" t="inlineStr">
        <is>
          <t>참고 후보</t>
        </is>
      </c>
      <c r="E16" s="2" t="n">
        <v>16</v>
      </c>
      <c r="F16" s="2" t="inlineStr">
        <is>
          <t>EVT-006+EVT-007</t>
        </is>
      </c>
      <c r="G16" s="4" t="n"/>
      <c r="H16" s="2">
        <f>IF(OR(G16="",NOT(ISNUMBER(E16))),"",G16-E16)</f>
        <v/>
      </c>
      <c r="I16" s="2">
        <f>IF(G16="","회신 대기",IF(NOT(ISNUMBER(E16)),"내부 추정 변동(비교 보류)",IF(G16=E16,"일치","차이 있음")))</f>
        <v/>
      </c>
      <c r="J16" s="5" t="n">
        <v>109148</v>
      </c>
      <c r="K16" s="6" t="n"/>
      <c r="L16" s="7">
        <f>IF(OR(K16="",J16=0),"",(K16-J16)/J16)</f>
        <v/>
      </c>
      <c r="M16" s="2" t="inlineStr"/>
    </row>
    <row r="17">
      <c r="A17" s="2" t="inlineStr">
        <is>
          <t>K9204029</t>
        </is>
      </c>
      <c r="B17" s="2" t="inlineStr">
        <is>
          <t>HAX_MULTI-ETHERNET CABLE 100M</t>
        </is>
      </c>
      <c r="C17" s="2" t="inlineStr">
        <is>
          <t>Cable</t>
        </is>
      </c>
      <c r="D17" s="3" t="inlineStr">
        <is>
          <t>참고 후보</t>
        </is>
      </c>
      <c r="E17" s="2" t="n">
        <v>4</v>
      </c>
      <c r="F17" s="2" t="inlineStr">
        <is>
          <t>EVT-006+EVT-007</t>
        </is>
      </c>
      <c r="G17" s="4" t="n"/>
      <c r="H17" s="2">
        <f>IF(OR(G17="",NOT(ISNUMBER(E17))),"",G17-E17)</f>
        <v/>
      </c>
      <c r="I17" s="2">
        <f>IF(G17="","회신 대기",IF(NOT(ISNUMBER(E17)),"내부 추정 변동(비교 보류)",IF(G17=E17,"일치","차이 있음")))</f>
        <v/>
      </c>
      <c r="J17" s="5" t="n">
        <v>1400000</v>
      </c>
      <c r="K17" s="6" t="n"/>
      <c r="L17" s="7">
        <f>IF(OR(K17="",J17=0),"",(K17-J17)/J17)</f>
        <v/>
      </c>
      <c r="M17" s="2" t="inlineStr"/>
    </row>
    <row r="18">
      <c r="A18" s="2" t="inlineStr">
        <is>
          <t>K9204028</t>
        </is>
      </c>
      <c r="B18" s="2" t="inlineStr">
        <is>
          <t>HAX_MULTI-FIBER CABLE 100M</t>
        </is>
      </c>
      <c r="C18" s="2" t="inlineStr">
        <is>
          <t>Cable</t>
        </is>
      </c>
      <c r="D18" s="3" t="inlineStr">
        <is>
          <t>참고 후보</t>
        </is>
      </c>
      <c r="E18" s="2" t="n">
        <v>4</v>
      </c>
      <c r="F18" s="2" t="inlineStr">
        <is>
          <t>EVT-006+EVT-007</t>
        </is>
      </c>
      <c r="G18" s="4" t="n"/>
      <c r="H18" s="2">
        <f>IF(OR(G18="",NOT(ISNUMBER(E18))),"",G18-E18)</f>
        <v/>
      </c>
      <c r="I18" s="2">
        <f>IF(G18="","회신 대기",IF(NOT(ISNUMBER(E18)),"내부 추정 변동(비교 보류)",IF(G18=E18,"일치","차이 있음")))</f>
        <v/>
      </c>
      <c r="J18" s="5" t="n">
        <v>750000</v>
      </c>
      <c r="K18" s="6" t="n"/>
      <c r="L18" s="7">
        <f>IF(OR(K18="",J18=0),"",(K18-J18)/J18)</f>
        <v/>
      </c>
      <c r="M18" s="2" t="inlineStr"/>
    </row>
    <row r="19">
      <c r="A19" s="2" t="inlineStr">
        <is>
          <t>K9204027</t>
        </is>
      </c>
      <c r="B19" s="2" t="inlineStr">
        <is>
          <t>HAX_MULTI POWER CABLE 100M</t>
        </is>
      </c>
      <c r="C19" s="2" t="inlineStr">
        <is>
          <t>Cable</t>
        </is>
      </c>
      <c r="D19" s="3" t="inlineStr">
        <is>
          <t>참고 후보</t>
        </is>
      </c>
      <c r="E19" s="2" t="n">
        <v>4</v>
      </c>
      <c r="F19" s="2" t="inlineStr">
        <is>
          <t>EVT-006+EVT-007</t>
        </is>
      </c>
      <c r="G19" s="4" t="n"/>
      <c r="H19" s="2">
        <f>IF(OR(G19="",NOT(ISNUMBER(E19))),"",G19-E19)</f>
        <v/>
      </c>
      <c r="I19" s="2">
        <f>IF(G19="","회신 대기",IF(NOT(ISNUMBER(E19)),"내부 추정 변동(비교 보류)",IF(G19=E19,"일치","차이 있음")))</f>
        <v/>
      </c>
      <c r="J19" s="5" t="n">
        <v>2000000</v>
      </c>
      <c r="K19" s="6" t="n"/>
      <c r="L19" s="7">
        <f>IF(OR(K19="",J19=0),"",(K19-J19)/J19)</f>
        <v/>
      </c>
      <c r="M19" s="2" t="inlineStr"/>
    </row>
    <row r="20">
      <c r="A20" s="2" t="inlineStr">
        <is>
          <t>K9208727</t>
        </is>
      </c>
      <c r="B20" s="2" t="inlineStr">
        <is>
          <t>10/11GHz FLAT HYBRID 10.0, Direct, UMT,3.7dB</t>
        </is>
      </c>
      <c r="C20" s="2" t="inlineStr">
        <is>
          <t>Coupler/Hybrid</t>
        </is>
      </c>
      <c r="D20" s="3" t="inlineStr">
        <is>
          <t>참고 후보</t>
        </is>
      </c>
      <c r="E20" s="9" t="inlineStr">
        <is>
          <t>변동, 공급사 확인 필요</t>
        </is>
      </c>
      <c r="F20" s="2" t="inlineStr">
        <is>
          <t>EVT-006+EVT-007, EVT-007, EVT-010, EVT-010+EVT-011</t>
        </is>
      </c>
      <c r="G20" s="4" t="n"/>
      <c r="H20" s="2">
        <f>IF(OR(G20="",NOT(ISNUMBER(E20))),"",G20-E20)</f>
        <v/>
      </c>
      <c r="I20" s="2">
        <f>IF(G20="","회신 대기",IF(NOT(ISNUMBER(E20)),"내부 추정 변동(비교 보류)",IF(G20=E20,"일치","차이 있음")))</f>
        <v/>
      </c>
      <c r="J20" s="5" t="n">
        <v>1160933</v>
      </c>
      <c r="K20" s="6" t="n"/>
      <c r="L20" s="7">
        <f>IF(OR(K20="",J20=0),"",(K20-J20)/J20)</f>
        <v/>
      </c>
      <c r="M20" s="2" t="inlineStr"/>
    </row>
    <row r="21">
      <c r="A21" s="2" t="inlineStr">
        <is>
          <t>K9208704</t>
        </is>
      </c>
      <c r="B21" s="2" t="inlineStr">
        <is>
          <t>PS-MV</t>
        </is>
      </c>
      <c r="C21" s="2" t="inlineStr">
        <is>
          <t>PDP/Power</t>
        </is>
      </c>
      <c r="D21" s="3" t="inlineStr">
        <is>
          <t>참고 후보</t>
        </is>
      </c>
      <c r="E21" s="2" t="n">
        <v>28</v>
      </c>
      <c r="F21" s="2" t="inlineStr">
        <is>
          <t>EVT-006+EVT-007, EVT-010, EVT-010+EVT-011</t>
        </is>
      </c>
      <c r="G21" s="4" t="n"/>
      <c r="H21" s="2">
        <f>IF(OR(G21="",NOT(ISNUMBER(E21))),"",G21-E21)</f>
        <v/>
      </c>
      <c r="I21" s="2">
        <f>IF(G21="","회신 대기",IF(NOT(ISNUMBER(E21)),"내부 추정 변동(비교 보류)",IF(G21=E21,"일치","차이 있음")))</f>
        <v/>
      </c>
      <c r="J21" s="5" t="n">
        <v>638577</v>
      </c>
      <c r="K21" s="6" t="n"/>
      <c r="L21" s="7">
        <f>IF(OR(K21="",J21=0),"",(K21-J21)/J21)</f>
        <v/>
      </c>
      <c r="M21" s="2" t="inlineStr"/>
    </row>
    <row r="22">
      <c r="A22" s="2" t="inlineStr">
        <is>
          <t>K9188159</t>
        </is>
      </c>
      <c r="B22" s="2" t="inlineStr">
        <is>
          <t>FLEXIBLE WAVEGUIDE, 10.7 - 11.7 GHZ, 1200MM, PDR100 FLANGES</t>
        </is>
      </c>
      <c r="C22" s="2" t="inlineStr">
        <is>
          <t>Waveguide</t>
        </is>
      </c>
      <c r="D22" s="3" t="inlineStr">
        <is>
          <t>참고 후보</t>
        </is>
      </c>
      <c r="E22" s="2" t="n">
        <v>2</v>
      </c>
      <c r="F22" s="2" t="inlineStr">
        <is>
          <t>EVT-006+EVT-007, EVT-007</t>
        </is>
      </c>
      <c r="G22" s="4" t="n"/>
      <c r="H22" s="2">
        <f>IF(OR(G22="",NOT(ISNUMBER(E22))),"",G22-E22)</f>
        <v/>
      </c>
      <c r="I22" s="2">
        <f>IF(G22="","회신 대기",IF(NOT(ISNUMBER(E22)),"내부 추정 변동(비교 보류)",IF(G22=E22,"일치","차이 있음")))</f>
        <v/>
      </c>
      <c r="J22" s="5" t="n">
        <v>750000</v>
      </c>
      <c r="K22" s="6" t="n"/>
      <c r="L22" s="7">
        <f>IF(OR(K22="",J22=0),"",(K22-J22)/J22)</f>
        <v/>
      </c>
      <c r="M22" s="2" t="inlineStr"/>
    </row>
    <row r="23">
      <c r="A23" s="2" t="inlineStr">
        <is>
          <t>K9208725</t>
        </is>
      </c>
      <c r="B23" s="2" t="inlineStr">
        <is>
          <t>OBC2 Mounting Bracket expand to 1RF</t>
        </is>
      </c>
      <c r="C23" s="2" t="inlineStr">
        <is>
          <t>Mount/Bracket</t>
        </is>
      </c>
      <c r="D23" s="3" t="inlineStr">
        <is>
          <t>참고 후보</t>
        </is>
      </c>
      <c r="E23" s="2" t="n">
        <v>8</v>
      </c>
      <c r="F23" s="2" t="inlineStr">
        <is>
          <t>EVT-006+EVT-007</t>
        </is>
      </c>
      <c r="G23" s="4" t="n"/>
      <c r="H23" s="2">
        <f>IF(OR(G23="",NOT(ISNUMBER(E23))),"",G23-E23)</f>
        <v/>
      </c>
      <c r="I23" s="2">
        <f>IF(G23="","회신 대기",IF(NOT(ISNUMBER(E23)),"내부 추정 변동(비교 보류)",IF(G23=E23,"일치","차이 있음")))</f>
        <v/>
      </c>
      <c r="J23" s="5" t="n">
        <v>159784</v>
      </c>
      <c r="K23" s="6" t="n"/>
      <c r="L23" s="7">
        <f>IF(OR(K23="",J23=0),"",(K23-J23)/J23)</f>
        <v/>
      </c>
      <c r="M23" s="2" t="inlineStr"/>
    </row>
    <row r="24">
      <c r="A24" s="2" t="inlineStr">
        <is>
          <t>K9208724</t>
        </is>
      </c>
      <c r="B24" s="2" t="inlineStr">
        <is>
          <t>OBC2 Mounting Bracket Up to 4RF</t>
        </is>
      </c>
      <c r="C24" s="2" t="inlineStr">
        <is>
          <t>Mount/Bracket</t>
        </is>
      </c>
      <c r="D24" s="3" t="inlineStr">
        <is>
          <t>참고 후보</t>
        </is>
      </c>
      <c r="E24" s="2" t="n">
        <v>10</v>
      </c>
      <c r="F24" s="2" t="inlineStr">
        <is>
          <t>EVT-006+EVT-007</t>
        </is>
      </c>
      <c r="G24" s="4" t="n"/>
      <c r="H24" s="2">
        <f>IF(OR(G24="",NOT(ISNUMBER(E24))),"",G24-E24)</f>
        <v/>
      </c>
      <c r="I24" s="2">
        <f>IF(G24="","회신 대기",IF(NOT(ISNUMBER(E24)),"내부 추정 변동(비교 보류)",IF(G24=E24,"일치","차이 있음")))</f>
        <v/>
      </c>
      <c r="J24" s="5" t="n">
        <v>352958</v>
      </c>
      <c r="K24" s="6" t="n"/>
      <c r="L24" s="7">
        <f>IF(OR(K24="",J24=0),"",(K24-J24)/J24)</f>
        <v/>
      </c>
      <c r="M24" s="2" t="inlineStr"/>
    </row>
    <row r="25">
      <c r="A25" s="2" t="inlineStr">
        <is>
          <t>K9210278</t>
        </is>
      </c>
      <c r="B25" s="2" t="inlineStr">
        <is>
          <t>SFP TSoP STM-1/OC3 over Gig-E Module</t>
        </is>
      </c>
      <c r="C25" s="2" t="inlineStr">
        <is>
          <t>ODU/RFU</t>
        </is>
      </c>
      <c r="D25" s="3" t="inlineStr">
        <is>
          <t>참고 후보</t>
        </is>
      </c>
      <c r="E25" s="9" t="inlineStr">
        <is>
          <t>변동, 공급사 확인 필요</t>
        </is>
      </c>
      <c r="F25" s="2" t="inlineStr">
        <is>
          <t>EVT-006+EVT-007, EVT-007, EVT-010, EVT-010+EVT-011</t>
        </is>
      </c>
      <c r="G25" s="4" t="n"/>
      <c r="H25" s="2">
        <f>IF(OR(G25="",NOT(ISNUMBER(E25))),"",G25-E25)</f>
        <v/>
      </c>
      <c r="I25" s="2">
        <f>IF(G25="","회신 대기",IF(NOT(ISNUMBER(E25)),"내부 추정 변동(비교 보류)",IF(G25=E25,"일치","차이 있음")))</f>
        <v/>
      </c>
      <c r="J25" s="5" t="n">
        <v>1000000</v>
      </c>
      <c r="K25" s="6" t="n"/>
      <c r="L25" s="7">
        <f>IF(OR(K25="",J25=0),"",(K25-J25)/J25)</f>
        <v/>
      </c>
      <c r="M25" s="2" t="inlineStr"/>
    </row>
    <row r="26">
      <c r="A26" s="2" t="inlineStr">
        <is>
          <t>K9208731</t>
        </is>
      </c>
      <c r="B26" s="2" t="inlineStr">
        <is>
          <t>MODEM INDOOR JUMBER CABLE, 3m, FOR VR4/VR10</t>
        </is>
      </c>
      <c r="C26" s="2" t="inlineStr">
        <is>
          <t>Modem</t>
        </is>
      </c>
      <c r="D26" s="3" t="inlineStr">
        <is>
          <t>참고 후보</t>
        </is>
      </c>
      <c r="E26" s="9" t="inlineStr">
        <is>
          <t>변동, 공급사 확인 필요</t>
        </is>
      </c>
      <c r="F26" s="2" t="inlineStr">
        <is>
          <t>EVT-006+EVT-007, EVT-007, EVT-010, EVT-010+EVT-011</t>
        </is>
      </c>
      <c r="G26" s="4" t="n"/>
      <c r="H26" s="2">
        <f>IF(OR(G26="",NOT(ISNUMBER(E26))),"",G26-E26)</f>
        <v/>
      </c>
      <c r="I26" s="2">
        <f>IF(G26="","회신 대기",IF(NOT(ISNUMBER(E26)),"내부 추정 변동(비교 보류)",IF(G26=E26,"일치","차이 있음")))</f>
        <v/>
      </c>
      <c r="J26" s="5" t="n">
        <v>59285</v>
      </c>
      <c r="K26" s="6" t="n"/>
      <c r="L26" s="7">
        <f>IF(OR(K26="",J26=0),"",(K26-J26)/J26)</f>
        <v/>
      </c>
      <c r="M26" s="2" t="inlineStr"/>
    </row>
    <row r="27">
      <c r="A27" s="2" t="inlineStr">
        <is>
          <t>K9208734</t>
        </is>
      </c>
      <c r="B27" s="2" t="inlineStr">
        <is>
          <t>VR10 Node License</t>
        </is>
      </c>
      <c r="C27" s="2" t="inlineStr">
        <is>
          <t>License</t>
        </is>
      </c>
      <c r="D27" s="3" t="inlineStr">
        <is>
          <t>참고 후보</t>
        </is>
      </c>
      <c r="E27" s="2" t="n">
        <v>14</v>
      </c>
      <c r="F27" s="2" t="inlineStr">
        <is>
          <t>EVT-006+EVT-007, EVT-010, EVT-010+EVT-011</t>
        </is>
      </c>
      <c r="G27" s="4" t="n"/>
      <c r="H27" s="2">
        <f>IF(OR(G27="",NOT(ISNUMBER(E27))),"",G27-E27)</f>
        <v/>
      </c>
      <c r="I27" s="2">
        <f>IF(G27="","회신 대기",IF(NOT(ISNUMBER(E27)),"내부 추정 변동(비교 보류)",IF(G27=E27,"일치","차이 있음")))</f>
        <v/>
      </c>
      <c r="J27" s="5" t="n">
        <v>1050000</v>
      </c>
      <c r="K27" s="6" t="n"/>
      <c r="L27" s="7">
        <f>IF(OR(K27="",J27=0),"",(K27-J27)/J27)</f>
        <v/>
      </c>
      <c r="M27" s="2" t="inlineStr"/>
    </row>
    <row r="28">
      <c r="A28" s="2" t="inlineStr">
        <is>
          <t>K9208711</t>
        </is>
      </c>
      <c r="B28" s="2" t="inlineStr">
        <is>
          <t>MC-MV Redundancy</t>
        </is>
      </c>
      <c r="C28" s="2" t="inlineStr">
        <is>
          <t>CPU/Control</t>
        </is>
      </c>
      <c r="D28" s="3" t="inlineStr">
        <is>
          <t>참고 후보</t>
        </is>
      </c>
      <c r="E28" s="2" t="n">
        <v>14</v>
      </c>
      <c r="F28" s="2" t="inlineStr">
        <is>
          <t>EVT-006+EVT-007, EVT-010, EVT-010+EVT-011</t>
        </is>
      </c>
      <c r="G28" s="4" t="n"/>
      <c r="H28" s="2">
        <f>IF(OR(G28="",NOT(ISNUMBER(E28))),"",G28-E28)</f>
        <v/>
      </c>
      <c r="I28" s="2">
        <f>IF(G28="","회신 대기",IF(NOT(ISNUMBER(E28)),"내부 추정 변동(비교 보류)",IF(G28=E28,"일치","차이 있음")))</f>
        <v/>
      </c>
      <c r="J28" s="5" t="n">
        <v>1487695</v>
      </c>
      <c r="K28" s="6" t="n"/>
      <c r="L28" s="7">
        <f>IF(OR(K28="",J28=0),"",(K28-J28)/J28)</f>
        <v/>
      </c>
      <c r="M28" s="2" t="inlineStr"/>
    </row>
    <row r="29">
      <c r="A29" s="2" t="inlineStr">
        <is>
          <t>K9208710</t>
        </is>
      </c>
      <c r="B29" s="2" t="inlineStr">
        <is>
          <t>STM1-A</t>
        </is>
      </c>
      <c r="C29" s="2" t="inlineStr">
        <is>
          <t>Interface Card</t>
        </is>
      </c>
      <c r="D29" s="3" t="inlineStr">
        <is>
          <t>참고 후보</t>
        </is>
      </c>
      <c r="E29" s="2" t="n">
        <v>2</v>
      </c>
      <c r="F29" s="2" t="inlineStr">
        <is>
          <t>EVT-006+EVT-007, EVT-010, EVT-010+EVT-011</t>
        </is>
      </c>
      <c r="G29" s="4" t="n"/>
      <c r="H29" s="2">
        <f>IF(OR(G29="",NOT(ISNUMBER(E29))),"",G29-E29)</f>
        <v/>
      </c>
      <c r="I29" s="2">
        <f>IF(G29="","회신 대기",IF(NOT(ISNUMBER(E29)),"내부 추정 변동(비교 보류)",IF(G29=E29,"일치","차이 있음")))</f>
        <v/>
      </c>
      <c r="J29" s="5" t="n">
        <v>1232797</v>
      </c>
      <c r="K29" s="6" t="n"/>
      <c r="L29" s="7">
        <f>IF(OR(K29="",J29=0),"",(K29-J29)/J29)</f>
        <v/>
      </c>
      <c r="M29" s="2" t="inlineStr"/>
    </row>
    <row r="30">
      <c r="A30" s="2" t="inlineStr">
        <is>
          <t>K9208707</t>
        </is>
      </c>
      <c r="B30" s="2" t="inlineStr">
        <is>
          <t>GbE4e-AV</t>
        </is>
      </c>
      <c r="C30" s="2" t="inlineStr">
        <is>
          <t>Interface Card</t>
        </is>
      </c>
      <c r="D30" s="3" t="inlineStr">
        <is>
          <t>참고 후보</t>
        </is>
      </c>
      <c r="E30" s="2" t="n">
        <v>14</v>
      </c>
      <c r="F30" s="2" t="inlineStr">
        <is>
          <t>EVT-006+EVT-007, EVT-010, EVT-010+EVT-011</t>
        </is>
      </c>
      <c r="G30" s="4" t="n"/>
      <c r="H30" s="2">
        <f>IF(OR(G30="",NOT(ISNUMBER(E30))),"",G30-E30)</f>
        <v/>
      </c>
      <c r="I30" s="2">
        <f>IF(G30="","회신 대기",IF(NOT(ISNUMBER(E30)),"내부 추정 변동(비교 보류)",IF(G30=E30,"일치","차이 있음")))</f>
        <v/>
      </c>
      <c r="J30" s="5" t="n">
        <v>974141</v>
      </c>
      <c r="K30" s="6" t="n"/>
      <c r="L30" s="7">
        <f>IF(OR(K30="",J30=0),"",(K30-J30)/J30)</f>
        <v/>
      </c>
      <c r="M30" s="2" t="inlineStr"/>
    </row>
    <row r="31">
      <c r="A31" s="2" t="inlineStr">
        <is>
          <t>K9208706</t>
        </is>
      </c>
      <c r="B31" s="2" t="inlineStr">
        <is>
          <t>GbE4f-AV</t>
        </is>
      </c>
      <c r="C31" s="2" t="inlineStr">
        <is>
          <t>Interface Card</t>
        </is>
      </c>
      <c r="D31" s="3" t="inlineStr">
        <is>
          <t>참고 후보</t>
        </is>
      </c>
      <c r="E31" s="2" t="n">
        <v>30</v>
      </c>
      <c r="F31" s="2" t="inlineStr">
        <is>
          <t>EVT-006+EVT-007, EVT-010, EVT-010+EVT-011</t>
        </is>
      </c>
      <c r="G31" s="4" t="n"/>
      <c r="H31" s="2">
        <f>IF(OR(G31="",NOT(ISNUMBER(E31))),"",G31-E31)</f>
        <v/>
      </c>
      <c r="I31" s="2">
        <f>IF(G31="","회신 대기",IF(NOT(ISNUMBER(E31)),"내부 추정 변동(비교 보류)",IF(G31=E31,"일치","차이 있음")))</f>
        <v/>
      </c>
      <c r="J31" s="5" t="n">
        <v>927754</v>
      </c>
      <c r="K31" s="6" t="n"/>
      <c r="L31" s="7">
        <f>IF(OR(K31="",J31=0),"",(K31-J31)/J31)</f>
        <v/>
      </c>
      <c r="M31" s="2" t="inlineStr"/>
    </row>
    <row r="32">
      <c r="A32" s="2" t="inlineStr">
        <is>
          <t>K9208705</t>
        </is>
      </c>
      <c r="B32" s="2" t="inlineStr">
        <is>
          <t>MODEM-AV</t>
        </is>
      </c>
      <c r="C32" s="2" t="inlineStr">
        <is>
          <t>Modem</t>
        </is>
      </c>
      <c r="D32" s="3" t="inlineStr">
        <is>
          <t>참고 후보</t>
        </is>
      </c>
      <c r="E32" s="2" t="n">
        <v>60</v>
      </c>
      <c r="F32" s="2" t="inlineStr">
        <is>
          <t>EVT-006+EVT-007, EVT-010, EVT-010+EVT-011</t>
        </is>
      </c>
      <c r="G32" s="4" t="n"/>
      <c r="H32" s="2">
        <f>IF(OR(G32="",NOT(ISNUMBER(E32))),"",G32-E32)</f>
        <v/>
      </c>
      <c r="I32" s="2">
        <f>IF(G32="","회신 대기",IF(NOT(ISNUMBER(E32)),"내부 추정 변동(비교 보류)",IF(G32=E32,"일치","차이 있음")))</f>
        <v/>
      </c>
      <c r="J32" s="5" t="n">
        <v>557078</v>
      </c>
      <c r="K32" s="6" t="n"/>
      <c r="L32" s="7">
        <f>IF(OR(K32="",J32=0),"",(K32-J32)/J32)</f>
        <v/>
      </c>
      <c r="M32" s="2" t="inlineStr"/>
    </row>
    <row r="33">
      <c r="A33" s="2" t="inlineStr">
        <is>
          <t>K9208703</t>
        </is>
      </c>
      <c r="B33" s="2" t="inlineStr">
        <is>
          <t>TERM-MV</t>
        </is>
      </c>
      <c r="C33" s="2" t="inlineStr">
        <is>
          <t>CPU/Control</t>
        </is>
      </c>
      <c r="D33" s="3" t="inlineStr">
        <is>
          <t>참고 후보</t>
        </is>
      </c>
      <c r="E33" s="2" t="n">
        <v>14</v>
      </c>
      <c r="F33" s="2" t="inlineStr">
        <is>
          <t>EVT-006+EVT-007, EVT-010, EVT-010+EVT-011</t>
        </is>
      </c>
      <c r="G33" s="4" t="n"/>
      <c r="H33" s="2">
        <f>IF(OR(G33="",NOT(ISNUMBER(E33))),"",G33-E33)</f>
        <v/>
      </c>
      <c r="I33" s="2">
        <f>IF(G33="","회신 대기",IF(NOT(ISNUMBER(E33)),"내부 추정 변동(비교 보류)",IF(G33=E33,"일치","차이 있음")))</f>
        <v/>
      </c>
      <c r="J33" s="5" t="n">
        <v>582357</v>
      </c>
      <c r="K33" s="6" t="n"/>
      <c r="L33" s="7">
        <f>IF(OR(K33="",J33=0),"",(K33-J33)/J33)</f>
        <v/>
      </c>
      <c r="M33" s="2" t="inlineStr"/>
    </row>
    <row r="34">
      <c r="A34" s="2" t="inlineStr">
        <is>
          <t>K9208702</t>
        </is>
      </c>
      <c r="B34" s="2" t="inlineStr">
        <is>
          <t>FAN-MV</t>
        </is>
      </c>
      <c r="C34" s="2" t="inlineStr">
        <is>
          <t>Fan</t>
        </is>
      </c>
      <c r="D34" s="3" t="inlineStr">
        <is>
          <t>참고 후보</t>
        </is>
      </c>
      <c r="E34" s="2" t="n">
        <v>28</v>
      </c>
      <c r="F34" s="2" t="inlineStr">
        <is>
          <t>EVT-006+EVT-007, EVT-010, EVT-010+EVT-011</t>
        </is>
      </c>
      <c r="G34" s="4" t="n"/>
      <c r="H34" s="2">
        <f>IF(OR(G34="",NOT(ISNUMBER(E34))),"",G34-E34)</f>
        <v/>
      </c>
      <c r="I34" s="2">
        <f>IF(G34="","회신 대기",IF(NOT(ISNUMBER(E34)),"내부 추정 변동(비교 보류)",IF(G34=E34,"일치","차이 있음")))</f>
        <v/>
      </c>
      <c r="J34" s="5" t="n">
        <v>776790</v>
      </c>
      <c r="K34" s="6" t="n"/>
      <c r="L34" s="7">
        <f>IF(OR(K34="",J34=0),"",(K34-J34)/J34)</f>
        <v/>
      </c>
      <c r="M34" s="2" t="inlineStr"/>
    </row>
    <row r="35">
      <c r="A35" s="2" t="inlineStr">
        <is>
          <t>K9208701</t>
        </is>
      </c>
      <c r="B35" s="2" t="inlineStr">
        <is>
          <t>VR10 MC-MV</t>
        </is>
      </c>
      <c r="C35" s="2" t="inlineStr">
        <is>
          <t>CPU/Control</t>
        </is>
      </c>
      <c r="D35" s="3" t="inlineStr">
        <is>
          <t>참고 후보</t>
        </is>
      </c>
      <c r="E35" s="2" t="n">
        <v>12</v>
      </c>
      <c r="F35" s="2" t="inlineStr">
        <is>
          <t>EVT-006+EVT-007, EVT-010, EVT-010+EVT-011</t>
        </is>
      </c>
      <c r="G35" s="4" t="n"/>
      <c r="H35" s="2">
        <f>IF(OR(G35="",NOT(ISNUMBER(E35))),"",G35-E35)</f>
        <v/>
      </c>
      <c r="I35" s="2">
        <f>IF(G35="","회신 대기",IF(NOT(ISNUMBER(E35)),"내부 추정 변동(비교 보류)",IF(G35=E35,"일치","차이 있음")))</f>
        <v/>
      </c>
      <c r="J35" s="5" t="n">
        <v>1487695</v>
      </c>
      <c r="K35" s="6" t="n"/>
      <c r="L35" s="7">
        <f>IF(OR(K35="",J35=0),"",(K35-J35)/J35)</f>
        <v/>
      </c>
      <c r="M35" s="2" t="inlineStr"/>
    </row>
    <row r="36">
      <c r="A36" s="2" t="inlineStr">
        <is>
          <t>K9208700</t>
        </is>
      </c>
      <c r="B36" s="2" t="inlineStr">
        <is>
          <t>VR10 3RU CHASSIS</t>
        </is>
      </c>
      <c r="C36" s="2" t="inlineStr">
        <is>
          <t>IDU/Chassis</t>
        </is>
      </c>
      <c r="D36" s="3" t="inlineStr">
        <is>
          <t>참고 후보</t>
        </is>
      </c>
      <c r="E36" s="2" t="n">
        <v>14</v>
      </c>
      <c r="F36" s="2" t="inlineStr">
        <is>
          <t>EVT-006+EVT-007, EVT-010, EVT-010+EVT-011</t>
        </is>
      </c>
      <c r="G36" s="4" t="n"/>
      <c r="H36" s="2">
        <f>IF(OR(G36="",NOT(ISNUMBER(E36))),"",G36-E36)</f>
        <v/>
      </c>
      <c r="I36" s="2">
        <f>IF(G36="","회신 대기",IF(NOT(ISNUMBER(E36)),"내부 추정 변동(비교 보류)",IF(G36=E36,"일치","차이 있음")))</f>
        <v/>
      </c>
      <c r="J36" s="5" t="n">
        <v>5244380</v>
      </c>
      <c r="K36" s="6" t="n"/>
      <c r="L36" s="7">
        <f>IF(OR(K36="",J36=0),"",(K36-J36)/J36)</f>
        <v/>
      </c>
      <c r="M36" s="2" t="inlineStr"/>
    </row>
    <row r="37">
      <c r="A37" s="2" t="inlineStr">
        <is>
          <t>K9090174</t>
        </is>
      </c>
      <c r="B37" s="2" t="inlineStr">
        <is>
          <t>HAX_IDU/ODU간 IF 케이블,1Meter</t>
        </is>
      </c>
      <c r="C37" s="2" t="inlineStr">
        <is>
          <t>ODU/RFU</t>
        </is>
      </c>
      <c r="D37" s="3" t="inlineStr">
        <is>
          <t>참고 후보</t>
        </is>
      </c>
      <c r="E37" s="2" t="n">
        <v>300</v>
      </c>
      <c r="F37" s="2" t="inlineStr">
        <is>
          <t>EVT-006+EVT-007, EVT-007</t>
        </is>
      </c>
      <c r="G37" s="4" t="n"/>
      <c r="H37" s="2">
        <f>IF(OR(G37="",NOT(ISNUMBER(E37))),"",G37-E37)</f>
        <v/>
      </c>
      <c r="I37" s="2">
        <f>IF(G37="","회신 대기",IF(NOT(ISNUMBER(E37)),"내부 추정 변동(비교 보류)",IF(G37=E37,"일치","차이 있음")))</f>
        <v/>
      </c>
      <c r="J37" s="5" t="n">
        <v>2120</v>
      </c>
      <c r="K37" s="6" t="n"/>
      <c r="L37" s="7">
        <f>IF(OR(K37="",J37=0),"",(K37-J37)/J37)</f>
        <v/>
      </c>
      <c r="M37" s="2" t="inlineStr"/>
    </row>
    <row r="38">
      <c r="A38" s="2" t="inlineStr">
        <is>
          <t>K9198328</t>
        </is>
      </c>
      <c r="B38" s="2" t="inlineStr">
        <is>
          <t>Gigabit Ethernet SFP_Industrial_-40~+85℃_실외형</t>
        </is>
      </c>
      <c r="C38" s="2" t="inlineStr">
        <is>
          <t>ODU/RFU</t>
        </is>
      </c>
      <c r="D38" s="3" t="inlineStr">
        <is>
          <t>참고 후보</t>
        </is>
      </c>
      <c r="E38" s="2" t="n">
        <v>16</v>
      </c>
      <c r="F38" s="2" t="inlineStr">
        <is>
          <t>EVT-006+EVT-007, EVT-007</t>
        </is>
      </c>
      <c r="G38" s="4" t="n"/>
      <c r="H38" s="2">
        <f>IF(OR(G38="",NOT(ISNUMBER(E38))),"",G38-E38)</f>
        <v/>
      </c>
      <c r="I38" s="2">
        <f>IF(G38="","회신 대기",IF(NOT(ISNUMBER(E38)),"내부 추정 변동(비교 보류)",IF(G38=E38,"일치","차이 있음")))</f>
        <v/>
      </c>
      <c r="J38" s="5" t="n">
        <v>130000</v>
      </c>
      <c r="K38" s="6" t="n"/>
      <c r="L38" s="7">
        <f>IF(OR(K38="",J38=0),"",(K38-J38)/J38)</f>
        <v/>
      </c>
      <c r="M38" s="2" t="inlineStr"/>
    </row>
    <row r="39">
      <c r="A39" s="2" t="inlineStr">
        <is>
          <t>K9210280</t>
        </is>
      </c>
      <c r="B39" s="2" t="inlineStr">
        <is>
          <t>HAX_Arrestor KIT("N"형 M,F콘넥터 각1EA 포함)</t>
        </is>
      </c>
      <c r="C39" s="2" t="inlineStr">
        <is>
          <t>Surge/Grounding</t>
        </is>
      </c>
      <c r="D39" s="3" t="inlineStr">
        <is>
          <t>참고 후보</t>
        </is>
      </c>
      <c r="E39" s="2" t="n">
        <v>8</v>
      </c>
      <c r="F39" s="2" t="inlineStr">
        <is>
          <t>EVT-006+EVT-007, EVT-007</t>
        </is>
      </c>
      <c r="G39" s="4" t="n"/>
      <c r="H39" s="2">
        <f>IF(OR(G39="",NOT(ISNUMBER(E39))),"",G39-E39)</f>
        <v/>
      </c>
      <c r="I39" s="2">
        <f>IF(G39="","회신 대기",IF(NOT(ISNUMBER(E39)),"내부 추정 변동(비교 보류)",IF(G39=E39,"일치","차이 있음")))</f>
        <v/>
      </c>
      <c r="J39" s="5" t="n">
        <v>126070</v>
      </c>
      <c r="K39" s="6" t="n"/>
      <c r="L39" s="7">
        <f>IF(OR(K39="",J39=0),"",(K39-J39)/J39)</f>
        <v/>
      </c>
      <c r="M39" s="2" t="inlineStr"/>
    </row>
    <row r="40">
      <c r="A40" s="2" t="inlineStr">
        <is>
          <t>K9204032</t>
        </is>
      </c>
      <c r="B40" s="2" t="inlineStr">
        <is>
          <t>HAX_GROUND CONDUCTOR</t>
        </is>
      </c>
      <c r="C40" s="2" t="inlineStr">
        <is>
          <t>Surge/Grounding</t>
        </is>
      </c>
      <c r="D40" s="3" t="inlineStr">
        <is>
          <t>참고 후보</t>
        </is>
      </c>
      <c r="E40" s="2" t="n">
        <v>8</v>
      </c>
      <c r="F40" s="2" t="inlineStr">
        <is>
          <t>EVT-006+EVT-007, EVT-007</t>
        </is>
      </c>
      <c r="G40" s="4" t="n"/>
      <c r="H40" s="2">
        <f>IF(OR(G40="",NOT(ISNUMBER(E40))),"",G40-E40)</f>
        <v/>
      </c>
      <c r="I40" s="2">
        <f>IF(G40="","회신 대기",IF(NOT(ISNUMBER(E40)),"내부 추정 변동(비교 보류)",IF(G40=E40,"일치","차이 있음")))</f>
        <v/>
      </c>
      <c r="J40" s="5" t="n">
        <v>30000</v>
      </c>
      <c r="K40" s="6" t="n"/>
      <c r="L40" s="7">
        <f>IF(OR(K40="",J40=0),"",(K40-J40)/J40)</f>
        <v/>
      </c>
      <c r="M40" s="2" t="inlineStr"/>
    </row>
    <row r="41">
      <c r="A41" s="2" t="inlineStr">
        <is>
          <t>K9204030</t>
        </is>
      </c>
      <c r="B41" s="2" t="inlineStr">
        <is>
          <t>HAX_PROTECTOR MODULE</t>
        </is>
      </c>
      <c r="C41" s="2" t="inlineStr">
        <is>
          <t>Surge/Grounding</t>
        </is>
      </c>
      <c r="D41" s="3" t="inlineStr">
        <is>
          <t>참고 후보</t>
        </is>
      </c>
      <c r="E41" s="2" t="n">
        <v>8</v>
      </c>
      <c r="F41" s="2" t="inlineStr">
        <is>
          <t>EVT-006+EVT-007, EVT-007</t>
        </is>
      </c>
      <c r="G41" s="4" t="n"/>
      <c r="H41" s="2">
        <f>IF(OR(G41="",NOT(ISNUMBER(E41))),"",G41-E41)</f>
        <v/>
      </c>
      <c r="I41" s="2">
        <f>IF(G41="","회신 대기",IF(NOT(ISNUMBER(E41)),"내부 추정 변동(비교 보류)",IF(G41=E41,"일치","차이 있음")))</f>
        <v/>
      </c>
      <c r="J41" s="5" t="n">
        <v>400000</v>
      </c>
      <c r="K41" s="6" t="n"/>
      <c r="L41" s="7">
        <f>IF(OR(K41="",J41=0),"",(K41-J41)/J41)</f>
        <v/>
      </c>
      <c r="M41" s="2" t="inlineStr"/>
    </row>
    <row r="42">
      <c r="A42" s="2" t="inlineStr">
        <is>
          <t>K9193436</t>
        </is>
      </c>
      <c r="B42" s="2" t="inlineStr">
        <is>
          <t>AVIAT_ANT-HP-DP-4FT-11</t>
        </is>
      </c>
      <c r="C42" s="2" t="inlineStr">
        <is>
          <t>Antenna</t>
        </is>
      </c>
      <c r="D42" s="3" t="inlineStr">
        <is>
          <t>참고 후보</t>
        </is>
      </c>
      <c r="E42" s="2" t="n">
        <v>1</v>
      </c>
      <c r="F42" s="2" t="inlineStr">
        <is>
          <t>EVT-010, EVT-010+EVT-011</t>
        </is>
      </c>
      <c r="G42" s="4" t="n"/>
      <c r="H42" s="2">
        <f>IF(OR(G42="",NOT(ISNUMBER(E42))),"",G42-E42)</f>
        <v/>
      </c>
      <c r="I42" s="2">
        <f>IF(G42="","회신 대기",IF(NOT(ISNUMBER(E42)),"내부 추정 변동(비교 보류)",IF(G42=E42,"일치","차이 있음")))</f>
        <v/>
      </c>
      <c r="J42" s="5" t="n">
        <v>3500000</v>
      </c>
      <c r="K42" s="6" t="n"/>
      <c r="L42" s="7">
        <f>IF(OR(K42="",J42=0),"",(K42-J42)/J42)</f>
        <v/>
      </c>
      <c r="M42" s="2" t="inlineStr"/>
    </row>
  </sheetData>
  <autoFilter ref="A1:M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9" customWidth="1" min="4" max="4"/>
    <col width="19" customWidth="1" min="5" max="5"/>
    <col width="26" customWidth="1" min="6" max="6"/>
    <col width="11" customWidth="1" min="7" max="7"/>
    <col width="47" customWidth="1" min="8" max="8"/>
    <col width="60" customWidth="1" min="9" max="9"/>
    <col width="9" customWidth="1" min="10" max="10"/>
    <col width="10" customWidth="1" min="11" max="11"/>
    <col width="40" customWidth="1" min="12" max="12"/>
    <col width="8" customWidth="1" min="13" max="13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내부 판정수준</t>
        </is>
      </c>
      <c r="E1" s="1" t="inlineStr">
        <is>
          <t>내부 대표수량(1개 링크 기준)</t>
        </is>
      </c>
      <c r="F1" s="1" t="inlineStr">
        <is>
          <t>근거 이벤트ID</t>
        </is>
      </c>
      <c r="G1" s="1" t="inlineStr">
        <is>
          <t>공급사 회신 수량</t>
        </is>
      </c>
      <c r="H1" s="1" t="inlineStr">
        <is>
          <t>수량 차이</t>
        </is>
      </c>
      <c r="I1" s="1" t="inlineStr">
        <is>
          <t>일치 여부</t>
        </is>
      </c>
      <c r="J1" s="1" t="inlineStr">
        <is>
          <t>내부 판매단가</t>
        </is>
      </c>
      <c r="K1" s="1" t="inlineStr">
        <is>
          <t>공급사 회신단가</t>
        </is>
      </c>
      <c r="L1" s="1" t="inlineStr">
        <is>
          <t>단가 차이(%)</t>
        </is>
      </c>
      <c r="M1" s="1" t="inlineStr">
        <is>
          <t>비고</t>
        </is>
      </c>
    </row>
    <row r="2">
      <c r="A2" s="2" t="inlineStr">
        <is>
          <t>K9210279</t>
        </is>
      </c>
      <c r="B2" s="2" t="inlineStr">
        <is>
          <t>HAX_Gigabit Ethernet SFP</t>
        </is>
      </c>
      <c r="C2" s="2" t="inlineStr">
        <is>
          <t>SFP/Optical Module</t>
        </is>
      </c>
      <c r="D2" s="3" t="inlineStr">
        <is>
          <t>참고 후보</t>
        </is>
      </c>
      <c r="E2" s="2" t="n">
        <v>8</v>
      </c>
      <c r="F2" s="2" t="inlineStr">
        <is>
          <t>EVT-008, EVT-008+EVT-009</t>
        </is>
      </c>
      <c r="G2" s="4" t="n"/>
      <c r="H2" s="2">
        <f>IF(OR(G2="",NOT(ISNUMBER(E2))),"",G2-E2)</f>
        <v/>
      </c>
      <c r="I2" s="2">
        <f>IF(G2="","회신 대기",IF(NOT(ISNUMBER(E2)),"내부 추정 변동(비교 보류)",IF(G2=E2,"일치","차이 있음")))</f>
        <v/>
      </c>
      <c r="J2" s="5" t="n">
        <v>74180</v>
      </c>
      <c r="K2" s="6" t="n"/>
      <c r="L2" s="7">
        <f>IF(OR(K2="",J2=0),"",(K2-J2)/J2)</f>
        <v/>
      </c>
      <c r="M2" s="2" t="inlineStr"/>
    </row>
    <row r="3">
      <c r="A3" s="2" t="inlineStr">
        <is>
          <t>K9210281</t>
        </is>
      </c>
      <c r="B3" s="2" t="inlineStr">
        <is>
          <t>HAX_커넥터 KIT_IF 케이블 종단용</t>
        </is>
      </c>
      <c r="C3" s="2" t="inlineStr">
        <is>
          <t>Cable</t>
        </is>
      </c>
      <c r="D3" s="3" t="inlineStr">
        <is>
          <t>참고 후보</t>
        </is>
      </c>
      <c r="E3" s="2" t="n">
        <v>16</v>
      </c>
      <c r="F3" s="2" t="inlineStr">
        <is>
          <t>EVT-008, EVT-008+EVT-009</t>
        </is>
      </c>
      <c r="G3" s="4" t="n"/>
      <c r="H3" s="2">
        <f>IF(OR(G3="",NOT(ISNUMBER(E3))),"",G3-E3)</f>
        <v/>
      </c>
      <c r="I3" s="2">
        <f>IF(G3="","회신 대기",IF(NOT(ISNUMBER(E3)),"내부 추정 변동(비교 보류)",IF(G3=E3,"일치","차이 있음")))</f>
        <v/>
      </c>
      <c r="J3" s="5" t="n">
        <v>18000</v>
      </c>
      <c r="K3" s="6" t="n"/>
      <c r="L3" s="7">
        <f>IF(OR(K3="",J3=0),"",(K3-J3)/J3)</f>
        <v/>
      </c>
      <c r="M3" s="2" t="inlineStr"/>
    </row>
    <row r="4">
      <c r="A4" s="2" t="inlineStr">
        <is>
          <t>K9188159</t>
        </is>
      </c>
      <c r="B4" s="2" t="inlineStr">
        <is>
          <t>FLEXIBLE WAVEGUIDE, 10.7 - 11.7 GHZ, 1200MM, PDR100 FLANGES</t>
        </is>
      </c>
      <c r="C4" s="2" t="inlineStr">
        <is>
          <t>Waveguide</t>
        </is>
      </c>
      <c r="D4" s="3" t="inlineStr">
        <is>
          <t>참고 후보</t>
        </is>
      </c>
      <c r="E4" s="2" t="n">
        <v>4</v>
      </c>
      <c r="F4" s="2" t="inlineStr">
        <is>
          <t>EVT-008, EVT-008+EVT-009</t>
        </is>
      </c>
      <c r="G4" s="4" t="n"/>
      <c r="H4" s="2">
        <f>IF(OR(G4="",NOT(ISNUMBER(E4))),"",G4-E4)</f>
        <v/>
      </c>
      <c r="I4" s="2">
        <f>IF(G4="","회신 대기",IF(NOT(ISNUMBER(E4)),"내부 추정 변동(비교 보류)",IF(G4=E4,"일치","차이 있음")))</f>
        <v/>
      </c>
      <c r="J4" s="5" t="n">
        <v>750000</v>
      </c>
      <c r="K4" s="6" t="n"/>
      <c r="L4" s="7">
        <f>IF(OR(K4="",J4=0),"",(K4-J4)/J4)</f>
        <v/>
      </c>
      <c r="M4" s="2" t="inlineStr"/>
    </row>
    <row r="5">
      <c r="A5" s="2" t="inlineStr">
        <is>
          <t>K9208729</t>
        </is>
      </c>
      <c r="B5" s="2" t="inlineStr">
        <is>
          <t>10/11GHz IAP3 Mounting Bracket</t>
        </is>
      </c>
      <c r="C5" s="2" t="inlineStr">
        <is>
          <t>Mount/Bracket</t>
        </is>
      </c>
      <c r="D5" s="3" t="inlineStr">
        <is>
          <t>참고 후보</t>
        </is>
      </c>
      <c r="E5" s="2" t="n">
        <v>4</v>
      </c>
      <c r="F5" s="2" t="inlineStr">
        <is>
          <t>EVT-008, EVT-008+EVT-009</t>
        </is>
      </c>
      <c r="G5" s="4" t="n"/>
      <c r="H5" s="2">
        <f>IF(OR(G5="",NOT(ISNUMBER(E5))),"",G5-E5)</f>
        <v/>
      </c>
      <c r="I5" s="2">
        <f>IF(G5="","회신 대기",IF(NOT(ISNUMBER(E5)),"내부 추정 변동(비교 보류)",IF(G5=E5,"일치","차이 있음")))</f>
        <v/>
      </c>
      <c r="J5" s="5" t="n">
        <v>299584</v>
      </c>
      <c r="K5" s="6" t="n"/>
      <c r="L5" s="7">
        <f>IF(OR(K5="",J5=0),"",(K5-J5)/J5)</f>
        <v/>
      </c>
      <c r="M5" s="2" t="inlineStr"/>
    </row>
    <row r="6">
      <c r="A6" s="2" t="inlineStr">
        <is>
          <t>K9208727</t>
        </is>
      </c>
      <c r="B6" s="2" t="inlineStr">
        <is>
          <t>10/11GHz FLAT HYBRID 10.0, Direct, UMT,3.7dB</t>
        </is>
      </c>
      <c r="C6" s="2" t="inlineStr">
        <is>
          <t>Coupler/Hybrid</t>
        </is>
      </c>
      <c r="D6" s="3" t="inlineStr">
        <is>
          <t>참고 후보</t>
        </is>
      </c>
      <c r="E6" s="2" t="n">
        <v>4</v>
      </c>
      <c r="F6" s="2" t="inlineStr">
        <is>
          <t>EVT-008, EVT-008+EVT-009</t>
        </is>
      </c>
      <c r="G6" s="4" t="n"/>
      <c r="H6" s="2">
        <f>IF(OR(G6="",NOT(ISNUMBER(E6))),"",G6-E6)</f>
        <v/>
      </c>
      <c r="I6" s="2">
        <f>IF(G6="","회신 대기",IF(NOT(ISNUMBER(E6)),"내부 추정 변동(비교 보류)",IF(G6=E6,"일치","차이 있음")))</f>
        <v/>
      </c>
      <c r="J6" s="5" t="n">
        <v>1160933</v>
      </c>
      <c r="K6" s="6" t="n"/>
      <c r="L6" s="7">
        <f>IF(OR(K6="",J6=0),"",(K6-J6)/J6)</f>
        <v/>
      </c>
      <c r="M6" s="2" t="inlineStr"/>
    </row>
    <row r="7">
      <c r="A7" s="2" t="inlineStr">
        <is>
          <t>K9090174</t>
        </is>
      </c>
      <c r="B7" s="2" t="inlineStr">
        <is>
          <t>HAX_IDU/ODU간 IF 케이블,1Meter</t>
        </is>
      </c>
      <c r="C7" s="2" t="inlineStr">
        <is>
          <t>ODU/RFU</t>
        </is>
      </c>
      <c r="D7" s="3" t="inlineStr">
        <is>
          <t>참고 후보</t>
        </is>
      </c>
      <c r="E7" s="2" t="n">
        <v>600</v>
      </c>
      <c r="F7" s="2" t="inlineStr">
        <is>
          <t>EVT-008, EVT-008+EVT-009</t>
        </is>
      </c>
      <c r="G7" s="4" t="n"/>
      <c r="H7" s="2">
        <f>IF(OR(G7="",NOT(ISNUMBER(E7))),"",G7-E7)</f>
        <v/>
      </c>
      <c r="I7" s="2">
        <f>IF(G7="","회신 대기",IF(NOT(ISNUMBER(E7)),"내부 추정 변동(비교 보류)",IF(G7=E7,"일치","차이 있음")))</f>
        <v/>
      </c>
      <c r="J7" s="5" t="n">
        <v>2120</v>
      </c>
      <c r="K7" s="6" t="n"/>
      <c r="L7" s="7">
        <f>IF(OR(K7="",J7=0),"",(K7-J7)/J7)</f>
        <v/>
      </c>
      <c r="M7" s="2" t="inlineStr"/>
    </row>
    <row r="8">
      <c r="A8" s="2" t="inlineStr">
        <is>
          <t>K9208733</t>
        </is>
      </c>
      <c r="B8" s="2" t="inlineStr">
        <is>
          <t>VR4 Node License</t>
        </is>
      </c>
      <c r="C8" s="2" t="inlineStr">
        <is>
          <t>License</t>
        </is>
      </c>
      <c r="D8" s="3" t="inlineStr">
        <is>
          <t>참고 후보</t>
        </is>
      </c>
      <c r="E8" s="2" t="n">
        <v>2</v>
      </c>
      <c r="F8" s="2" t="inlineStr">
        <is>
          <t>EVT-008, EVT-008+EVT-009</t>
        </is>
      </c>
      <c r="G8" s="4" t="n"/>
      <c r="H8" s="2">
        <f>IF(OR(G8="",NOT(ISNUMBER(E8))),"",G8-E8)</f>
        <v/>
      </c>
      <c r="I8" s="2">
        <f>IF(G8="","회신 대기",IF(NOT(ISNUMBER(E8)),"내부 추정 변동(비교 보류)",IF(G8=E8,"일치","차이 있음")))</f>
        <v/>
      </c>
      <c r="J8" s="5" t="n">
        <v>525000</v>
      </c>
      <c r="K8" s="6" t="n"/>
      <c r="L8" s="7">
        <f>IF(OR(K8="",J8=0),"",(K8-J8)/J8)</f>
        <v/>
      </c>
      <c r="M8" s="2" t="inlineStr"/>
    </row>
    <row r="9">
      <c r="A9" s="2" t="inlineStr">
        <is>
          <t>K9208717</t>
        </is>
      </c>
      <c r="B9" s="2" t="inlineStr">
        <is>
          <t>11GHz ODU IAP3 HIGH</t>
        </is>
      </c>
      <c r="C9" s="2" t="inlineStr">
        <is>
          <t>ODU/RFU</t>
        </is>
      </c>
      <c r="D9" s="3" t="inlineStr">
        <is>
          <t>참고 후보</t>
        </is>
      </c>
      <c r="E9" s="2" t="n">
        <v>4</v>
      </c>
      <c r="F9" s="2" t="inlineStr">
        <is>
          <t>EVT-008, EVT-008+EVT-009</t>
        </is>
      </c>
      <c r="G9" s="4" t="n"/>
      <c r="H9" s="2">
        <f>IF(OR(G9="",NOT(ISNUMBER(E9))),"",G9-E9)</f>
        <v/>
      </c>
      <c r="I9" s="2">
        <f>IF(G9="","회신 대기",IF(NOT(ISNUMBER(E9)),"내부 추정 변동(비교 보류)",IF(G9=E9,"일치","차이 있음")))</f>
        <v/>
      </c>
      <c r="J9" s="5" t="n">
        <v>3051169</v>
      </c>
      <c r="K9" s="6" t="n"/>
      <c r="L9" s="7">
        <f>IF(OR(K9="",J9=0),"",(K9-J9)/J9)</f>
        <v/>
      </c>
      <c r="M9" s="2" t="inlineStr"/>
    </row>
    <row r="10">
      <c r="A10" s="2" t="inlineStr">
        <is>
          <t>K9208716</t>
        </is>
      </c>
      <c r="B10" s="2" t="inlineStr">
        <is>
          <t>11GHz ODU IAP3 LOW</t>
        </is>
      </c>
      <c r="C10" s="2" t="inlineStr">
        <is>
          <t>ODU/RFU</t>
        </is>
      </c>
      <c r="D10" s="3" t="inlineStr">
        <is>
          <t>참고 후보</t>
        </is>
      </c>
      <c r="E10" s="2" t="n">
        <v>4</v>
      </c>
      <c r="F10" s="2" t="inlineStr">
        <is>
          <t>EVT-008, EVT-008+EVT-009</t>
        </is>
      </c>
      <c r="G10" s="4" t="n"/>
      <c r="H10" s="2">
        <f>IF(OR(G10="",NOT(ISNUMBER(E10))),"",G10-E10)</f>
        <v/>
      </c>
      <c r="I10" s="2">
        <f>IF(G10="","회신 대기",IF(NOT(ISNUMBER(E10)),"내부 추정 변동(비교 보류)",IF(G10=E10,"일치","차이 있음")))</f>
        <v/>
      </c>
      <c r="J10" s="5" t="n">
        <v>3051169</v>
      </c>
      <c r="K10" s="6" t="n"/>
      <c r="L10" s="7">
        <f>IF(OR(K10="",J10=0),"",(K10-J10)/J10)</f>
        <v/>
      </c>
      <c r="M10" s="2" t="inlineStr"/>
    </row>
    <row r="11">
      <c r="A11" s="2" t="inlineStr">
        <is>
          <t>K9208705</t>
        </is>
      </c>
      <c r="B11" s="2" t="inlineStr">
        <is>
          <t>MODEM-AV</t>
        </is>
      </c>
      <c r="C11" s="2" t="inlineStr">
        <is>
          <t>Modem</t>
        </is>
      </c>
      <c r="D11" s="3" t="inlineStr">
        <is>
          <t>참고 후보</t>
        </is>
      </c>
      <c r="E11" s="2" t="n">
        <v>4</v>
      </c>
      <c r="F11" s="2" t="inlineStr">
        <is>
          <t>EVT-008, EVT-008+EVT-009</t>
        </is>
      </c>
      <c r="G11" s="4" t="n"/>
      <c r="H11" s="2">
        <f>IF(OR(G11="",NOT(ISNUMBER(E11))),"",G11-E11)</f>
        <v/>
      </c>
      <c r="I11" s="2">
        <f>IF(G11="","회신 대기",IF(NOT(ISNUMBER(E11)),"내부 추정 변동(비교 보류)",IF(G11=E11,"일치","차이 있음")))</f>
        <v/>
      </c>
      <c r="J11" s="5" t="n">
        <v>557078</v>
      </c>
      <c r="K11" s="6" t="n"/>
      <c r="L11" s="7">
        <f>IF(OR(K11="",J11=0),"",(K11-J11)/J11)</f>
        <v/>
      </c>
      <c r="M11" s="2" t="inlineStr"/>
    </row>
    <row r="12">
      <c r="A12" s="2" t="inlineStr">
        <is>
          <t>K9208699</t>
        </is>
      </c>
      <c r="B12" s="2" t="inlineStr">
        <is>
          <t>FAN-CV</t>
        </is>
      </c>
      <c r="C12" s="2" t="inlineStr">
        <is>
          <t>Fan</t>
        </is>
      </c>
      <c r="D12" s="3" t="inlineStr">
        <is>
          <t>참고 후보</t>
        </is>
      </c>
      <c r="E12" s="2" t="n">
        <v>2</v>
      </c>
      <c r="F12" s="2" t="inlineStr">
        <is>
          <t>EVT-008, EVT-008+EVT-009</t>
        </is>
      </c>
      <c r="G12" s="4" t="n"/>
      <c r="H12" s="2">
        <f>IF(OR(G12="",NOT(ISNUMBER(E12))),"",G12-E12)</f>
        <v/>
      </c>
      <c r="I12" s="2">
        <f>IF(G12="","회신 대기",IF(NOT(ISNUMBER(E12)),"내부 추정 변동(비교 보류)",IF(G12=E12,"일치","차이 있음")))</f>
        <v/>
      </c>
      <c r="J12" s="5" t="n">
        <v>174636</v>
      </c>
      <c r="K12" s="6" t="n"/>
      <c r="L12" s="7">
        <f>IF(OR(K12="",J12=0),"",(K12-J12)/J12)</f>
        <v/>
      </c>
      <c r="M12" s="2" t="inlineStr"/>
    </row>
    <row r="13">
      <c r="A13" s="2" t="inlineStr">
        <is>
          <t>K9208698</t>
        </is>
      </c>
      <c r="B13" s="2" t="inlineStr">
        <is>
          <t>VR4 1RU CHASSIS</t>
        </is>
      </c>
      <c r="C13" s="2" t="inlineStr">
        <is>
          <t>IDU/Chassis</t>
        </is>
      </c>
      <c r="D13" s="3" t="inlineStr">
        <is>
          <t>참고 후보</t>
        </is>
      </c>
      <c r="E13" s="2" t="n">
        <v>2</v>
      </c>
      <c r="F13" s="2" t="inlineStr">
        <is>
          <t>EVT-008, EVT-008+EVT-009</t>
        </is>
      </c>
      <c r="G13" s="4" t="n"/>
      <c r="H13" s="2">
        <f>IF(OR(G13="",NOT(ISNUMBER(E13))),"",G13-E13)</f>
        <v/>
      </c>
      <c r="I13" s="2">
        <f>IF(G13="","회신 대기",IF(NOT(ISNUMBER(E13)),"내부 추정 변동(비교 보류)",IF(G13=E13,"일치","차이 있음")))</f>
        <v/>
      </c>
      <c r="J13" s="5" t="n">
        <v>2442678</v>
      </c>
      <c r="K13" s="6" t="n"/>
      <c r="L13" s="7">
        <f>IF(OR(K13="",J13=0),"",(K13-J13)/J13)</f>
        <v/>
      </c>
      <c r="M13" s="2" t="inlineStr"/>
    </row>
    <row r="14">
      <c r="A14" s="2" t="inlineStr">
        <is>
          <t>K9210280</t>
        </is>
      </c>
      <c r="B14" s="2" t="inlineStr">
        <is>
          <t>HAX_Arrestor KIT("N"형 M,F콘넥터 각1EA 포함)</t>
        </is>
      </c>
      <c r="C14" s="2" t="inlineStr">
        <is>
          <t>Surge/Grounding</t>
        </is>
      </c>
      <c r="D14" s="3" t="inlineStr">
        <is>
          <t>참고 후보</t>
        </is>
      </c>
      <c r="E14" s="2" t="n">
        <v>16</v>
      </c>
      <c r="F14" s="2" t="inlineStr">
        <is>
          <t>EVT-008, EVT-008+EVT-009</t>
        </is>
      </c>
      <c r="G14" s="4" t="n"/>
      <c r="H14" s="2">
        <f>IF(OR(G14="",NOT(ISNUMBER(E14))),"",G14-E14)</f>
        <v/>
      </c>
      <c r="I14" s="2">
        <f>IF(G14="","회신 대기",IF(NOT(ISNUMBER(E14)),"내부 추정 변동(비교 보류)",IF(G14=E14,"일치","차이 있음")))</f>
        <v/>
      </c>
      <c r="J14" s="5" t="n">
        <v>126070</v>
      </c>
      <c r="K14" s="6" t="n"/>
      <c r="L14" s="7">
        <f>IF(OR(K14="",J14=0),"",(K14-J14)/J14)</f>
        <v/>
      </c>
      <c r="M14" s="2" t="inlineStr"/>
    </row>
  </sheetData>
  <autoFilter ref="A1:M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49" customWidth="1" min="3" max="3"/>
    <col width="43" customWidth="1" min="4" max="4"/>
    <col width="46" customWidth="1" min="5" max="5"/>
    <col width="46" customWidth="1" min="6" max="6"/>
    <col width="56" customWidth="1" min="7" max="7"/>
  </cols>
  <sheetData>
    <row r="1" ht="32" customHeight="1">
      <c r="A1" s="1" t="inlineStr">
        <is>
          <t>구성</t>
        </is>
      </c>
      <c r="B1" s="1" t="inlineStr">
        <is>
          <t>내부 추정 품목수</t>
        </is>
      </c>
      <c r="C1" s="1" t="inlineStr">
        <is>
          <t>회신 완료</t>
        </is>
      </c>
      <c r="D1" s="1" t="inlineStr">
        <is>
          <t>일치</t>
        </is>
      </c>
      <c r="E1" s="1" t="inlineStr">
        <is>
          <t>차이 있음</t>
        </is>
      </c>
      <c r="F1" s="1" t="inlineStr">
        <is>
          <t>회신 대기</t>
        </is>
      </c>
      <c r="G1" s="1" t="inlineStr">
        <is>
          <t>내부 추정 변동(비교 보류)</t>
        </is>
      </c>
    </row>
    <row r="2">
      <c r="A2" s="2" t="inlineStr">
        <is>
          <t>8GHz_IAP3_2+0_대조</t>
        </is>
      </c>
      <c r="B2" s="2" t="n">
        <v>19</v>
      </c>
      <c r="C2" s="2">
        <f>19-COUNTIF('8GHz_IAP3_2+0_대조'!I2:I20,"회신 대기")</f>
        <v/>
      </c>
      <c r="D2" s="2">
        <f>COUNTIF('8GHz_IAP3_2+0_대조'!I2:I20,"일치")</f>
        <v/>
      </c>
      <c r="E2" s="2">
        <f>COUNTIF('8GHz_IAP3_2+0_대조'!I2:I20,"차이 있음")</f>
        <v/>
      </c>
      <c r="F2" s="2">
        <f>COUNTIF('8GHz_IAP3_2+0_대조'!I2:I20,"회신 대기")</f>
        <v/>
      </c>
      <c r="G2" s="2">
        <f>COUNTIF('8GHz_IAP3_2+0_대조'!I2:I20,"내부 추정 변동(비교 보류)")</f>
        <v/>
      </c>
    </row>
    <row r="3">
      <c r="A3" s="2" t="inlineStr">
        <is>
          <t>8GHz_IAP3_4+0_대조</t>
        </is>
      </c>
      <c r="B3" s="2" t="n">
        <v>13</v>
      </c>
      <c r="C3" s="2">
        <f>13-COUNTIF('8GHz_IAP3_4+0_대조'!I2:I14,"회신 대기")</f>
        <v/>
      </c>
      <c r="D3" s="2">
        <f>COUNTIF('8GHz_IAP3_4+0_대조'!I2:I14,"일치")</f>
        <v/>
      </c>
      <c r="E3" s="2">
        <f>COUNTIF('8GHz_IAP3_4+0_대조'!I2:I14,"차이 있음")</f>
        <v/>
      </c>
      <c r="F3" s="2">
        <f>COUNTIF('8GHz_IAP3_4+0_대조'!I2:I14,"회신 대기")</f>
        <v/>
      </c>
      <c r="G3" s="2">
        <f>COUNTIF('8GHz_IAP3_4+0_대조'!I2:I14,"내부 추정 변동(비교 보류)")</f>
        <v/>
      </c>
    </row>
    <row r="4">
      <c r="A4" s="2" t="inlineStr">
        <is>
          <t>11GHz_IAP3_2+0_대조</t>
        </is>
      </c>
      <c r="B4" s="2" t="n">
        <v>41</v>
      </c>
      <c r="C4" s="2">
        <f>41-COUNTIF('11GHz_IAP3_2+0_대조'!I2:I42,"회신 대기")</f>
        <v/>
      </c>
      <c r="D4" s="2">
        <f>COUNTIF('11GHz_IAP3_2+0_대조'!I2:I42,"일치")</f>
        <v/>
      </c>
      <c r="E4" s="2">
        <f>COUNTIF('11GHz_IAP3_2+0_대조'!I2:I42,"차이 있음")</f>
        <v/>
      </c>
      <c r="F4" s="2">
        <f>COUNTIF('11GHz_IAP3_2+0_대조'!I2:I42,"회신 대기")</f>
        <v/>
      </c>
      <c r="G4" s="2">
        <f>COUNTIF('11GHz_IAP3_2+0_대조'!I2:I42,"내부 추정 변동(비교 보류)")</f>
        <v/>
      </c>
    </row>
    <row r="5">
      <c r="A5" s="2" t="inlineStr">
        <is>
          <t>11GHz_IAP3_4+0_대조</t>
        </is>
      </c>
      <c r="B5" s="2" t="n">
        <v>13</v>
      </c>
      <c r="C5" s="2">
        <f>13-COUNTIF('11GHz_IAP3_4+0_대조'!I2:I14,"회신 대기")</f>
        <v/>
      </c>
      <c r="D5" s="2">
        <f>COUNTIF('11GHz_IAP3_4+0_대조'!I2:I14,"일치")</f>
        <v/>
      </c>
      <c r="E5" s="2">
        <f>COUNTIF('11GHz_IAP3_4+0_대조'!I2:I14,"차이 있음")</f>
        <v/>
      </c>
      <c r="F5" s="2">
        <f>COUNTIF('11GHz_IAP3_4+0_대조'!I2:I14,"회신 대기")</f>
        <v/>
      </c>
      <c r="G5" s="2">
        <f>COUNTIF('11GHz_IAP3_4+0_대조'!I2:I14,"내부 추정 변동(비교 보류)")</f>
        <v/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2026-09-14T02:10:37Z</dcterms:created>
  <dcterms:modified xmlns:dcterms="http://purl.org/dc/terms/" xmlns:xsi="http://www.w3.org/2001/XMLSchema-instance" xsi:type="dcterms:W3CDTF">2026-09-14T02:10:37Z</dcterms:modified>
</cp:coreProperties>
</file>