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정리" sheetId="1" state="visible" r:id="rId1"/>
    <sheet xmlns:r="http://schemas.openxmlformats.org/officeDocument/2006/relationships" name="품목정규화" sheetId="2" state="visible" r:id="rId2"/>
    <sheet xmlns:r="http://schemas.openxmlformats.org/officeDocument/2006/relationships" name="데이터품질_이슈" sheetId="3" state="visible" r:id="rId3"/>
    <sheet xmlns:r="http://schemas.openxmlformats.org/officeDocument/2006/relationships" name="품목군별_요약" sheetId="4" state="visible" r:id="rId4"/>
  </sheets>
  <definedNames>
    <definedName name="_xlnm._FilterDatabase" localSheetId="0" hidden="1">'원본정리'!$A$1:$R$214</definedName>
    <definedName name="_xlnm._FilterDatabase" localSheetId="1" hidden="1">'품목정규화'!$A$1:$U$214</definedName>
    <definedName name="_xlnm._FilterDatabase" localSheetId="2" hidden="1">'데이터품질_이슈'!$A$1:$G$10</definedName>
    <definedName name="_xlnm._FilterDatabase" localSheetId="3" hidden="1">'품목군별_요약'!$A$1:$F$26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3">
    <font>
      <name val="Calibri"/>
      <family val="2"/>
      <color theme="1"/>
      <sz val="11"/>
      <scheme val="minor"/>
    </font>
    <font>
      <color rgb="00008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60" customWidth="1" min="5" max="5"/>
    <col width="17" customWidth="1" min="6" max="6"/>
    <col width="60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  <col width="25" customWidth="1" min="14" max="14"/>
    <col width="15" customWidth="1" min="15" max="15"/>
    <col width="38" customWidth="1" min="16" max="16"/>
    <col width="18" customWidth="1" min="17" max="17"/>
    <col width="14" customWidth="1" min="18" max="18"/>
  </cols>
  <sheetData>
    <row r="1" ht="32" customHeight="1">
      <c r="A1" s="1" t="inlineStr">
        <is>
          <t>순번</t>
        </is>
      </c>
      <c r="B1" s="1" t="inlineStr">
        <is>
          <t>K코드</t>
        </is>
      </c>
      <c r="C1" s="1" t="inlineStr">
        <is>
          <t>상품코드</t>
        </is>
      </c>
      <c r="D1" s="1" t="inlineStr">
        <is>
          <t>KTC코드</t>
        </is>
      </c>
      <c r="E1" s="1" t="inlineStr">
        <is>
          <t>품명</t>
        </is>
      </c>
      <c r="F1" s="1" t="inlineStr">
        <is>
          <t>모델명(원본,K코드중복주의)</t>
        </is>
      </c>
      <c r="G1" s="1" t="inlineStr">
        <is>
          <t>세부규격</t>
        </is>
      </c>
      <c r="H1" s="1" t="inlineStr">
        <is>
          <t>단위</t>
        </is>
      </c>
      <c r="I1" s="1" t="inlineStr">
        <is>
          <t>제조사</t>
        </is>
      </c>
      <c r="J1" s="1" t="inlineStr">
        <is>
          <t>원산지</t>
        </is>
      </c>
      <c r="K1" s="1" t="inlineStr">
        <is>
          <t>판매단가</t>
        </is>
      </c>
      <c r="L1" s="1" t="inlineStr">
        <is>
          <t>매입단가</t>
        </is>
      </c>
      <c r="M1" s="1" t="inlineStr">
        <is>
          <t>마진액</t>
        </is>
      </c>
      <c r="N1" s="1" t="inlineStr">
        <is>
          <t>마진율</t>
        </is>
      </c>
      <c r="O1" s="1" t="inlineStr">
        <is>
          <t>계약수량(등록요청 원본)</t>
        </is>
      </c>
      <c r="P1" s="1" t="inlineStr">
        <is>
          <t>계약수량×판매단가(산출값,주의:계약서 표기 계약금액과 다른 개념)</t>
        </is>
      </c>
      <c r="Q1" s="1" t="inlineStr">
        <is>
          <t>등록사유</t>
        </is>
      </c>
      <c r="R1" s="1" t="inlineStr">
        <is>
          <t>비고</t>
        </is>
      </c>
    </row>
    <row r="2">
      <c r="A2" s="2" t="n">
        <v>1</v>
      </c>
      <c r="B2" s="2" t="inlineStr">
        <is>
          <t>K9090159</t>
        </is>
      </c>
      <c r="C2" s="2" t="n"/>
      <c r="D2" s="2" t="inlineStr">
        <is>
          <t>10199824</t>
        </is>
      </c>
      <c r="E2" s="2" t="inlineStr">
        <is>
          <t>HAX_랙</t>
        </is>
      </c>
      <c r="F2" s="2" t="inlineStr">
        <is>
          <t>K9090159</t>
        </is>
      </c>
      <c r="G2" s="2" t="inlineStr">
        <is>
          <t>IDU 설치용 랙</t>
        </is>
      </c>
      <c r="H2" s="2" t="inlineStr">
        <is>
          <t>EA</t>
        </is>
      </c>
      <c r="I2" s="2" t="inlineStr">
        <is>
          <t>Aviat</t>
        </is>
      </c>
      <c r="J2" s="2" t="inlineStr">
        <is>
          <t>미국</t>
        </is>
      </c>
      <c r="K2" s="3" t="n">
        <v>540530</v>
      </c>
      <c r="L2" s="3" t="n">
        <v>520000</v>
      </c>
      <c r="M2" s="4">
        <f>K2-L2</f>
        <v/>
      </c>
      <c r="N2" s="5">
        <f>IF(K2=0,0,M2/K2)</f>
        <v/>
      </c>
      <c r="O2" s="3" t="n">
        <v>0</v>
      </c>
      <c r="P2" s="4">
        <f>O2*K2</f>
        <v/>
      </c>
      <c r="Q2" s="2" t="inlineStr">
        <is>
          <t>계약기간 만료에 따른 신규계약</t>
        </is>
      </c>
      <c r="R2" s="2" t="inlineStr">
        <is>
          <t>ㅇ 바코드 유무 : Y
ㅇ 구매속성 : IP구매
ㅇ 자재상태 : 0
ㅇ 검사속성 : 검사제외</t>
        </is>
      </c>
    </row>
    <row r="3">
      <c r="A3" s="2" t="n">
        <v>2</v>
      </c>
      <c r="B3" s="2" t="inlineStr">
        <is>
          <t>K9090160</t>
        </is>
      </c>
      <c r="C3" s="2" t="n"/>
      <c r="D3" s="2" t="inlineStr">
        <is>
          <t>10199349</t>
        </is>
      </c>
      <c r="E3" s="2" t="inlineStr">
        <is>
          <t>HAX_전원분배반(PDP)</t>
        </is>
      </c>
      <c r="F3" s="2" t="inlineStr">
        <is>
          <t>K9090160</t>
        </is>
      </c>
      <c r="G3" s="2" t="inlineStr">
        <is>
          <t>가내 전원공급 분배반</t>
        </is>
      </c>
      <c r="H3" s="2" t="inlineStr">
        <is>
          <t>EA</t>
        </is>
      </c>
      <c r="I3" s="2" t="inlineStr">
        <is>
          <t>Aviat</t>
        </is>
      </c>
      <c r="J3" s="2" t="inlineStr">
        <is>
          <t>미국</t>
        </is>
      </c>
      <c r="K3" s="3" t="n">
        <v>116570</v>
      </c>
      <c r="L3" s="3" t="n">
        <v>110000</v>
      </c>
      <c r="M3" s="4">
        <f>K3-L3</f>
        <v/>
      </c>
      <c r="N3" s="5">
        <f>IF(K3=0,0,M3/K3)</f>
        <v/>
      </c>
      <c r="O3" s="3" t="n">
        <v>0</v>
      </c>
      <c r="P3" s="4">
        <f>O3*K3</f>
        <v/>
      </c>
      <c r="Q3" s="2" t="inlineStr">
        <is>
          <t>계약기간 만료에 따른 신규계약</t>
        </is>
      </c>
      <c r="R3" s="2" t="inlineStr">
        <is>
          <t>ㅇ 바코드 유무 : Y
ㅇ 구매속성 : IP구매
ㅇ 자재상태 : 0
ㅇ 검사속성 : 검사제외</t>
        </is>
      </c>
    </row>
    <row r="4">
      <c r="A4" s="2" t="n">
        <v>3</v>
      </c>
      <c r="B4" s="2" t="inlineStr">
        <is>
          <t>K9090161</t>
        </is>
      </c>
      <c r="C4" s="2" t="n"/>
      <c r="D4" s="2" t="inlineStr">
        <is>
          <t>10199351</t>
        </is>
      </c>
      <c r="E4" s="2" t="inlineStr">
        <is>
          <t>HAX_8GHz, ODU300sp, Low band</t>
        </is>
      </c>
      <c r="F4" s="2" t="inlineStr">
        <is>
          <t>K9090161</t>
        </is>
      </c>
      <c r="G4" s="2" t="inlineStr">
        <is>
          <t>8G 옥외 설치용 무선 송수신부</t>
        </is>
      </c>
      <c r="H4" s="2" t="inlineStr">
        <is>
          <t>EA</t>
        </is>
      </c>
      <c r="I4" s="2" t="inlineStr">
        <is>
          <t>Aviat</t>
        </is>
      </c>
      <c r="J4" s="2" t="inlineStr">
        <is>
          <t>미국</t>
        </is>
      </c>
      <c r="K4" s="3" t="n">
        <v>1589550</v>
      </c>
      <c r="L4" s="3" t="n">
        <v>1500000</v>
      </c>
      <c r="M4" s="4">
        <f>K4-L4</f>
        <v/>
      </c>
      <c r="N4" s="5">
        <f>IF(K4=0,0,M4/K4)</f>
        <v/>
      </c>
      <c r="O4" s="3" t="n">
        <v>0</v>
      </c>
      <c r="P4" s="4">
        <f>O4*K4</f>
        <v/>
      </c>
      <c r="Q4" s="2" t="inlineStr">
        <is>
          <t>계약기간 만료에 따른 신규계약</t>
        </is>
      </c>
      <c r="R4" s="2" t="inlineStr">
        <is>
          <t>ㅇ 바코드 유무 : Y
ㅇ 구매속성 : IP구매
ㅇ 자재상태 : 0
ㅇ 검사속성 : 검사제외</t>
        </is>
      </c>
    </row>
    <row r="5">
      <c r="A5" s="2" t="n">
        <v>4</v>
      </c>
      <c r="B5" s="2" t="inlineStr">
        <is>
          <t>K9090162</t>
        </is>
      </c>
      <c r="C5" s="2" t="n"/>
      <c r="D5" s="2" t="inlineStr">
        <is>
          <t>10199355</t>
        </is>
      </c>
      <c r="E5" s="2" t="inlineStr">
        <is>
          <t>HAX_8GHz, ODU300sp, High band</t>
        </is>
      </c>
      <c r="F5" s="2" t="inlineStr">
        <is>
          <t>K9090162</t>
        </is>
      </c>
      <c r="G5" s="2" t="inlineStr">
        <is>
          <t>8G 옥외 설치용 무선 송수신부</t>
        </is>
      </c>
      <c r="H5" s="2" t="inlineStr">
        <is>
          <t>EA</t>
        </is>
      </c>
      <c r="I5" s="2" t="inlineStr">
        <is>
          <t>Aviat</t>
        </is>
      </c>
      <c r="J5" s="2" t="inlineStr">
        <is>
          <t>미국</t>
        </is>
      </c>
      <c r="K5" s="3" t="n">
        <v>1589550</v>
      </c>
      <c r="L5" s="3" t="n">
        <v>1500000</v>
      </c>
      <c r="M5" s="4">
        <f>K5-L5</f>
        <v/>
      </c>
      <c r="N5" s="5">
        <f>IF(K5=0,0,M5/K5)</f>
        <v/>
      </c>
      <c r="O5" s="3" t="n">
        <v>0</v>
      </c>
      <c r="P5" s="4">
        <f>O5*K5</f>
        <v/>
      </c>
      <c r="Q5" s="2" t="inlineStr">
        <is>
          <t>계약기간 만료에 따른 신규계약</t>
        </is>
      </c>
      <c r="R5" s="2" t="inlineStr">
        <is>
          <t>ㅇ 바코드 유무 : Y
ㅇ 구매속성 : IP구매
ㅇ 자재상태 : 0
ㅇ 검사속성 : 검사제외</t>
        </is>
      </c>
    </row>
    <row r="6">
      <c r="A6" s="2" t="n">
        <v>5</v>
      </c>
      <c r="B6" s="2" t="inlineStr">
        <is>
          <t>K9090163</t>
        </is>
      </c>
      <c r="C6" s="2" t="n"/>
      <c r="D6" s="2" t="inlineStr">
        <is>
          <t>10199357</t>
        </is>
      </c>
      <c r="E6" s="2" t="inlineStr">
        <is>
          <t>HAX_11GHz, ODU300hp, Low band</t>
        </is>
      </c>
      <c r="F6" s="2" t="inlineStr">
        <is>
          <t>K9090163</t>
        </is>
      </c>
      <c r="G6" s="2" t="inlineStr">
        <is>
          <t>11G 옥외 설치용 무선 송수신부 (Low Band)</t>
        </is>
      </c>
      <c r="H6" s="2" t="inlineStr">
        <is>
          <t>EA</t>
        </is>
      </c>
      <c r="I6" s="2" t="inlineStr">
        <is>
          <t>Aviat</t>
        </is>
      </c>
      <c r="J6" s="2" t="inlineStr">
        <is>
          <t>미국</t>
        </is>
      </c>
      <c r="K6" s="3" t="n">
        <v>2935370</v>
      </c>
      <c r="L6" s="3" t="n">
        <v>2770000</v>
      </c>
      <c r="M6" s="4">
        <f>K6-L6</f>
        <v/>
      </c>
      <c r="N6" s="5">
        <f>IF(K6=0,0,M6/K6)</f>
        <v/>
      </c>
      <c r="O6" s="3" t="n">
        <v>0</v>
      </c>
      <c r="P6" s="4">
        <f>O6*K6</f>
        <v/>
      </c>
      <c r="Q6" s="2" t="inlineStr">
        <is>
          <t>계약기간 만료에 따른 신규계약</t>
        </is>
      </c>
      <c r="R6" s="2" t="inlineStr">
        <is>
          <t>ㅇ 바코드 유무 : Y
ㅇ 구매속성 : IP구매
ㅇ 자재상태 : 0
ㅇ 검사속성 : 검사제외</t>
        </is>
      </c>
    </row>
    <row r="7">
      <c r="A7" s="2" t="n">
        <v>6</v>
      </c>
      <c r="B7" s="2" t="inlineStr">
        <is>
          <t>K9090164</t>
        </is>
      </c>
      <c r="C7" s="2" t="n"/>
      <c r="D7" s="2" t="inlineStr">
        <is>
          <t>10199359</t>
        </is>
      </c>
      <c r="E7" s="2" t="inlineStr">
        <is>
          <t>HAX_11GHz, ODU300hp, High band</t>
        </is>
      </c>
      <c r="F7" s="2" t="inlineStr">
        <is>
          <t>K9090164</t>
        </is>
      </c>
      <c r="G7" s="2" t="inlineStr">
        <is>
          <t>11G 옥외 설치용 무선 송수신부 (High Band)</t>
        </is>
      </c>
      <c r="H7" s="2" t="inlineStr">
        <is>
          <t>EA</t>
        </is>
      </c>
      <c r="I7" s="2" t="inlineStr">
        <is>
          <t>Aviat</t>
        </is>
      </c>
      <c r="J7" s="2" t="inlineStr">
        <is>
          <t>미국</t>
        </is>
      </c>
      <c r="K7" s="3" t="n">
        <v>2935370</v>
      </c>
      <c r="L7" s="3" t="n">
        <v>2770000</v>
      </c>
      <c r="M7" s="4">
        <f>K7-L7</f>
        <v/>
      </c>
      <c r="N7" s="5">
        <f>IF(K7=0,0,M7/K7)</f>
        <v/>
      </c>
      <c r="O7" s="3" t="n">
        <v>0</v>
      </c>
      <c r="P7" s="4">
        <f>O7*K7</f>
        <v/>
      </c>
      <c r="Q7" s="2" t="inlineStr">
        <is>
          <t>계약기간 만료에 따른 신규계약</t>
        </is>
      </c>
      <c r="R7" s="2" t="inlineStr">
        <is>
          <t>ㅇ 바코드 유무 : Y
ㅇ 구매속성 : IP구매
ㅇ 자재상태 : 0
ㅇ 검사속성 : 검사제외</t>
        </is>
      </c>
    </row>
    <row r="8">
      <c r="A8" s="2" t="n">
        <v>7</v>
      </c>
      <c r="B8" s="2" t="inlineStr">
        <is>
          <t>K9090165</t>
        </is>
      </c>
      <c r="C8" s="2" t="n"/>
      <c r="D8" s="2" t="inlineStr">
        <is>
          <t>10199361</t>
        </is>
      </c>
      <c r="E8" s="2" t="inlineStr">
        <is>
          <t>HAX_IDU300 20X V2_20E1 용</t>
        </is>
      </c>
      <c r="F8" s="2" t="inlineStr">
        <is>
          <t>K9090165</t>
        </is>
      </c>
      <c r="G8" s="2" t="inlineStr">
        <is>
          <t>E1 종속부 수용장비, 최대 20E1 전용</t>
        </is>
      </c>
      <c r="H8" s="2" t="inlineStr">
        <is>
          <t>EA</t>
        </is>
      </c>
      <c r="I8" s="2" t="inlineStr">
        <is>
          <t>Aviat</t>
        </is>
      </c>
      <c r="J8" s="2" t="inlineStr">
        <is>
          <t>미국</t>
        </is>
      </c>
      <c r="K8" s="3" t="n">
        <v>1006720</v>
      </c>
      <c r="L8" s="3" t="n">
        <v>950000</v>
      </c>
      <c r="M8" s="4">
        <f>K8-L8</f>
        <v/>
      </c>
      <c r="N8" s="5">
        <f>IF(K8=0,0,M8/K8)</f>
        <v/>
      </c>
      <c r="O8" s="3" t="n">
        <v>0</v>
      </c>
      <c r="P8" s="4">
        <f>O8*K8</f>
        <v/>
      </c>
      <c r="Q8" s="2" t="inlineStr">
        <is>
          <t>계약기간 만료에 따른 신규계약</t>
        </is>
      </c>
      <c r="R8" s="2" t="inlineStr">
        <is>
          <t>ㅇ 바코드 유무 : Y
ㅇ 구매속성 : IP구매
ㅇ 자재상태 : 0
ㅇ 검사속성 : 검사제외</t>
        </is>
      </c>
    </row>
    <row r="9">
      <c r="A9" s="2" t="n">
        <v>8</v>
      </c>
      <c r="B9" s="2" t="inlineStr">
        <is>
          <t>K9090166</t>
        </is>
      </c>
      <c r="C9" s="2" t="n"/>
      <c r="D9" s="2" t="inlineStr">
        <is>
          <t>10004616</t>
        </is>
      </c>
      <c r="E9" s="2" t="inlineStr">
        <is>
          <t>HAX_IDU-INUe-SHELF</t>
        </is>
      </c>
      <c r="F9" s="2" t="inlineStr">
        <is>
          <t>K9090166</t>
        </is>
      </c>
      <c r="G9" s="2" t="inlineStr">
        <is>
          <t>Ethernet 종속부 수용 장비, 셀프(2RU)</t>
        </is>
      </c>
      <c r="H9" s="2" t="inlineStr">
        <is>
          <t>EA</t>
        </is>
      </c>
      <c r="I9" s="2" t="inlineStr">
        <is>
          <t>Aviat</t>
        </is>
      </c>
      <c r="J9" s="2" t="inlineStr">
        <is>
          <t>미국</t>
        </is>
      </c>
      <c r="K9" s="3" t="n">
        <v>2400000</v>
      </c>
      <c r="L9" s="3" t="n">
        <v>2350000</v>
      </c>
      <c r="M9" s="4">
        <f>K9-L9</f>
        <v/>
      </c>
      <c r="N9" s="5">
        <f>IF(K9=0,0,M9/K9)</f>
        <v/>
      </c>
      <c r="O9" s="3" t="n">
        <v>0</v>
      </c>
      <c r="P9" s="4">
        <f>O9*K9</f>
        <v/>
      </c>
      <c r="Q9" s="2" t="inlineStr">
        <is>
          <t>계약기간 만료에 따른 신규계약</t>
        </is>
      </c>
      <c r="R9" s="2" t="inlineStr">
        <is>
          <t>ㅇ 바코드 유무 : Y
ㅇ 구매속성 : IP구매
ㅇ 자재상태 : 0
ㅇ 검사속성 : 검사제외</t>
        </is>
      </c>
    </row>
    <row r="10">
      <c r="A10" s="2" t="n">
        <v>9</v>
      </c>
      <c r="B10" s="2" t="inlineStr">
        <is>
          <t>K9090167</t>
        </is>
      </c>
      <c r="C10" s="2" t="n"/>
      <c r="D10" s="2" t="inlineStr">
        <is>
          <t>10004617</t>
        </is>
      </c>
      <c r="E10" s="2" t="inlineStr">
        <is>
          <t>HAX_IDU-INUe-NCC</t>
        </is>
      </c>
      <c r="F10" s="2" t="inlineStr">
        <is>
          <t>K9090167</t>
        </is>
      </c>
      <c r="G10" s="2" t="inlineStr">
        <is>
          <t>관리 및 전원 공급</t>
        </is>
      </c>
      <c r="H10" s="2" t="inlineStr">
        <is>
          <t>EA</t>
        </is>
      </c>
      <c r="I10" s="2" t="inlineStr">
        <is>
          <t>Aviat</t>
        </is>
      </c>
      <c r="J10" s="2" t="inlineStr">
        <is>
          <t>미국</t>
        </is>
      </c>
      <c r="K10" s="3" t="n">
        <v>583000</v>
      </c>
      <c r="L10" s="3" t="n">
        <v>575000</v>
      </c>
      <c r="M10" s="4">
        <f>K10-L10</f>
        <v/>
      </c>
      <c r="N10" s="5">
        <f>IF(K10=0,0,M10/K10)</f>
        <v/>
      </c>
      <c r="O10" s="3" t="n">
        <v>0</v>
      </c>
      <c r="P10" s="4">
        <f>O10*K10</f>
        <v/>
      </c>
      <c r="Q10" s="2" t="inlineStr">
        <is>
          <t>계약기간 만료에 따른 신규계약</t>
        </is>
      </c>
      <c r="R10" s="2" t="inlineStr">
        <is>
          <t>ㅇ 바코드 유무 : Y
ㅇ 구매속성 : IP구매
ㅇ 자재상태 : 0
ㅇ 검사속성 : 검사제외</t>
        </is>
      </c>
    </row>
    <row r="11">
      <c r="A11" s="2" t="n">
        <v>10</v>
      </c>
      <c r="B11" s="2" t="inlineStr">
        <is>
          <t>K9090168</t>
        </is>
      </c>
      <c r="C11" s="2" t="n"/>
      <c r="D11" s="2" t="inlineStr">
        <is>
          <t>10004618</t>
        </is>
      </c>
      <c r="E11" s="2" t="inlineStr">
        <is>
          <t>HAX_IDU-INUe-NPC</t>
        </is>
      </c>
      <c r="F11" s="2" t="inlineStr">
        <is>
          <t>K9090168</t>
        </is>
      </c>
      <c r="G11" s="2" t="inlineStr">
        <is>
          <t>관리 및 전원 공급 예비유니트</t>
        </is>
      </c>
      <c r="H11" s="2" t="inlineStr">
        <is>
          <t>EA</t>
        </is>
      </c>
      <c r="I11" s="2" t="inlineStr">
        <is>
          <t>Aviat</t>
        </is>
      </c>
      <c r="J11" s="2" t="inlineStr">
        <is>
          <t>미국</t>
        </is>
      </c>
      <c r="K11" s="3" t="n">
        <v>656000</v>
      </c>
      <c r="L11" s="3" t="n">
        <v>645000</v>
      </c>
      <c r="M11" s="4">
        <f>K11-L11</f>
        <v/>
      </c>
      <c r="N11" s="5">
        <f>IF(K11=0,0,M11/K11)</f>
        <v/>
      </c>
      <c r="O11" s="3" t="n">
        <v>0</v>
      </c>
      <c r="P11" s="4">
        <f>O11*K11</f>
        <v/>
      </c>
      <c r="Q11" s="2" t="inlineStr">
        <is>
          <t>계약기간 만료에 따른 신규계약</t>
        </is>
      </c>
      <c r="R11" s="2" t="inlineStr">
        <is>
          <t>ㅇ 바코드 유무 : Y
ㅇ 구매속성 : IP구매
ㅇ 자재상태 : 0
ㅇ 검사속성 : 검사제외</t>
        </is>
      </c>
    </row>
    <row r="12">
      <c r="A12" s="2" t="n">
        <v>11</v>
      </c>
      <c r="B12" s="2" t="inlineStr">
        <is>
          <t>K9090169</t>
        </is>
      </c>
      <c r="C12" s="2" t="n"/>
      <c r="D12" s="2" t="inlineStr">
        <is>
          <t>10111382</t>
        </is>
      </c>
      <c r="E12" s="2" t="inlineStr">
        <is>
          <t>HAX_IDU-INUe-FAN</t>
        </is>
      </c>
      <c r="F12" s="2" t="inlineStr">
        <is>
          <t>K9090169</t>
        </is>
      </c>
      <c r="G12" s="2" t="inlineStr">
        <is>
          <t>FAN, 셀프내 이중화 구성, 셀프당 기본 2개</t>
        </is>
      </c>
      <c r="H12" s="2" t="inlineStr">
        <is>
          <t>EA</t>
        </is>
      </c>
      <c r="I12" s="2" t="inlineStr">
        <is>
          <t>Aviat</t>
        </is>
      </c>
      <c r="J12" s="2" t="inlineStr">
        <is>
          <t>미국</t>
        </is>
      </c>
      <c r="K12" s="3" t="n">
        <v>190420</v>
      </c>
      <c r="L12" s="3" t="n">
        <v>180000</v>
      </c>
      <c r="M12" s="4">
        <f>K12-L12</f>
        <v/>
      </c>
      <c r="N12" s="5">
        <f>IF(K12=0,0,M12/K12)</f>
        <v/>
      </c>
      <c r="O12" s="3" t="n">
        <v>0</v>
      </c>
      <c r="P12" s="4">
        <f>O12*K12</f>
        <v/>
      </c>
      <c r="Q12" s="2" t="inlineStr">
        <is>
          <t>계약기간 만료에 따른 신규계약</t>
        </is>
      </c>
      <c r="R12" s="2" t="inlineStr">
        <is>
          <t>ㅇ 바코드 유무 : Y
ㅇ 구매속성 : IP구매
ㅇ 자재상태 : 0
ㅇ 검사속성 : 검사제외</t>
        </is>
      </c>
    </row>
    <row r="13">
      <c r="A13" s="2" t="n">
        <v>12</v>
      </c>
      <c r="B13" s="2" t="inlineStr">
        <is>
          <t>K9090170</t>
        </is>
      </c>
      <c r="C13" s="2" t="n"/>
      <c r="D13" s="2" t="inlineStr">
        <is>
          <t>10199363</t>
        </is>
      </c>
      <c r="E13" s="2" t="inlineStr">
        <is>
          <t>HAX_IDU-INUe-AUX</t>
        </is>
      </c>
      <c r="F13" s="2" t="inlineStr">
        <is>
          <t>K9090170</t>
        </is>
      </c>
      <c r="G13" s="2" t="inlineStr">
        <is>
          <t>경보 입/출력, 예비테이타 포트 제공 유니트 / 셀프당 1개</t>
        </is>
      </c>
      <c r="H13" s="2" t="inlineStr">
        <is>
          <t>EA</t>
        </is>
      </c>
      <c r="I13" s="2" t="inlineStr">
        <is>
          <t>Aviat</t>
        </is>
      </c>
      <c r="J13" s="2" t="inlineStr">
        <is>
          <t>미국</t>
        </is>
      </c>
      <c r="K13" s="3" t="n">
        <v>619000</v>
      </c>
      <c r="L13" s="3" t="n">
        <v>600000</v>
      </c>
      <c r="M13" s="4">
        <f>K13-L13</f>
        <v/>
      </c>
      <c r="N13" s="5">
        <f>IF(K13=0,0,M13/K13)</f>
        <v/>
      </c>
      <c r="O13" s="3" t="n">
        <v>0</v>
      </c>
      <c r="P13" s="4">
        <f>O13*K13</f>
        <v/>
      </c>
      <c r="Q13" s="2" t="inlineStr">
        <is>
          <t>계약기간 만료에 따른 신규계약</t>
        </is>
      </c>
      <c r="R13" s="2" t="inlineStr">
        <is>
          <t>ㅇ 바코드 유무 : Y
ㅇ 구매속성 : IP구매
ㅇ 자재상태 : 0
ㅇ 검사속성 : 검사제외</t>
        </is>
      </c>
    </row>
    <row r="14">
      <c r="A14" s="2" t="n">
        <v>13</v>
      </c>
      <c r="B14" s="2" t="inlineStr">
        <is>
          <t>K9090171</t>
        </is>
      </c>
      <c r="C14" s="2" t="n"/>
      <c r="D14" s="2" t="inlineStr">
        <is>
          <t>10199365</t>
        </is>
      </c>
      <c r="E14" s="2" t="inlineStr">
        <is>
          <t>HAX_IDU-INUe-RAC30</t>
        </is>
      </c>
      <c r="F14" s="2" t="inlineStr">
        <is>
          <t>K9090171</t>
        </is>
      </c>
      <c r="G14" s="2" t="inlineStr">
        <is>
          <t>ODU 연결용 유니트, 이중화 구성 / 셀프당 기본물량 2개</t>
        </is>
      </c>
      <c r="H14" s="2" t="inlineStr">
        <is>
          <t>EA</t>
        </is>
      </c>
      <c r="I14" s="2" t="inlineStr">
        <is>
          <t>Aviat</t>
        </is>
      </c>
      <c r="J14" s="2" t="inlineStr">
        <is>
          <t>미국</t>
        </is>
      </c>
      <c r="K14" s="3" t="n">
        <v>1041970</v>
      </c>
      <c r="L14" s="3" t="n">
        <v>1000000</v>
      </c>
      <c r="M14" s="4">
        <f>K14-L14</f>
        <v/>
      </c>
      <c r="N14" s="5">
        <f>IF(K14=0,0,M14/K14)</f>
        <v/>
      </c>
      <c r="O14" s="3" t="n">
        <v>0</v>
      </c>
      <c r="P14" s="4">
        <f>O14*K14</f>
        <v/>
      </c>
      <c r="Q14" s="2" t="inlineStr">
        <is>
          <t>계약기간 만료에 따른 신규계약</t>
        </is>
      </c>
      <c r="R14" s="2" t="inlineStr">
        <is>
          <t>ㅇ 바코드 유무 : Y
ㅇ 구매속성 : IP구매
ㅇ 자재상태 : 0
ㅇ 검사속성 : 검사제외</t>
        </is>
      </c>
    </row>
    <row r="15">
      <c r="A15" s="2" t="n">
        <v>14</v>
      </c>
      <c r="B15" s="2" t="inlineStr">
        <is>
          <t>K9090172</t>
        </is>
      </c>
      <c r="C15" s="2" t="n"/>
      <c r="D15" s="2" t="inlineStr">
        <is>
          <t>10199367</t>
        </is>
      </c>
      <c r="E15" s="2" t="inlineStr">
        <is>
          <t>HAX_IDU-INUe-DAC GE</t>
        </is>
      </c>
      <c r="F15" s="2" t="inlineStr">
        <is>
          <t>K9090172</t>
        </is>
      </c>
      <c r="G15" s="2" t="inlineStr">
        <is>
          <t xml:space="preserve"> 3 x 10/100/1000 baseT(RJ-45), 1 x Optical 1000 BASE-LX(LC)</t>
        </is>
      </c>
      <c r="H15" s="2" t="inlineStr">
        <is>
          <t>EA</t>
        </is>
      </c>
      <c r="I15" s="2" t="inlineStr">
        <is>
          <t>Aviat</t>
        </is>
      </c>
      <c r="J15" s="2" t="inlineStr">
        <is>
          <t>미국</t>
        </is>
      </c>
      <c r="K15" s="3" t="n">
        <v>2119400</v>
      </c>
      <c r="L15" s="3" t="n">
        <v>2000000</v>
      </c>
      <c r="M15" s="4">
        <f>K15-L15</f>
        <v/>
      </c>
      <c r="N15" s="5">
        <f>IF(K15=0,0,M15/K15)</f>
        <v/>
      </c>
      <c r="O15" s="3" t="n">
        <v>0</v>
      </c>
      <c r="P15" s="4">
        <f>O15*K15</f>
        <v/>
      </c>
      <c r="Q15" s="2" t="inlineStr">
        <is>
          <t>계약기간 만료에 따른 신규계약</t>
        </is>
      </c>
      <c r="R15" s="2" t="inlineStr">
        <is>
          <t>ㅇ 바코드 유무 : Y
ㅇ 구매속성 : IP구매
ㅇ 자재상태 : 0
ㅇ 검사속성 : 검사제외</t>
        </is>
      </c>
    </row>
    <row r="16">
      <c r="A16" s="2" t="n">
        <v>15</v>
      </c>
      <c r="B16" s="2" t="inlineStr">
        <is>
          <t>K9090173</t>
        </is>
      </c>
      <c r="C16" s="2" t="n"/>
      <c r="D16" s="2" t="inlineStr">
        <is>
          <t>10199369</t>
        </is>
      </c>
      <c r="E16" s="2" t="inlineStr">
        <is>
          <t>HAX_IDU-INUe-Blank</t>
        </is>
      </c>
      <c r="F16" s="2" t="inlineStr">
        <is>
          <t>K9090173</t>
        </is>
      </c>
      <c r="G16" s="2" t="inlineStr">
        <is>
          <t>슬롯 블랭크</t>
        </is>
      </c>
      <c r="H16" s="2" t="inlineStr">
        <is>
          <t>EA</t>
        </is>
      </c>
      <c r="I16" s="2" t="inlineStr">
        <is>
          <t>Aviat</t>
        </is>
      </c>
      <c r="J16" s="2" t="inlineStr">
        <is>
          <t>미국</t>
        </is>
      </c>
      <c r="K16" s="3" t="n">
        <v>36000</v>
      </c>
      <c r="L16" s="3" t="n">
        <v>35000</v>
      </c>
      <c r="M16" s="4">
        <f>K16-L16</f>
        <v/>
      </c>
      <c r="N16" s="5">
        <f>IF(K16=0,0,M16/K16)</f>
        <v/>
      </c>
      <c r="O16" s="3" t="n">
        <v>0</v>
      </c>
      <c r="P16" s="4">
        <f>O16*K16</f>
        <v/>
      </c>
      <c r="Q16" s="2" t="inlineStr">
        <is>
          <t>계약기간 만료에 따른 신규계약</t>
        </is>
      </c>
      <c r="R16" s="2" t="inlineStr">
        <is>
          <t>ㅇ 바코드 유무 : Y
ㅇ 구매속성 : IP구매
ㅇ 자재상태 : 0
ㅇ 검사속성 : 검사제외</t>
        </is>
      </c>
    </row>
    <row r="17">
      <c r="A17" s="2" t="n">
        <v>16</v>
      </c>
      <c r="B17" s="2" t="inlineStr">
        <is>
          <t>K9090174</t>
        </is>
      </c>
      <c r="C17" s="2" t="n"/>
      <c r="D17" s="2" t="inlineStr">
        <is>
          <t>10004619</t>
        </is>
      </c>
      <c r="E17" s="2" t="inlineStr">
        <is>
          <t>HAX_IDU/ODU간 IF 케이블,1Meter</t>
        </is>
      </c>
      <c r="F17" s="2" t="inlineStr">
        <is>
          <t>K9090174</t>
        </is>
      </c>
      <c r="G17" s="2" t="inlineStr">
        <is>
          <t>IDU / ODU간 연결케이블</t>
        </is>
      </c>
      <c r="H17" s="2" t="inlineStr">
        <is>
          <t>EA</t>
        </is>
      </c>
      <c r="I17" s="2" t="inlineStr">
        <is>
          <t>Aviat</t>
        </is>
      </c>
      <c r="J17" s="2" t="inlineStr">
        <is>
          <t>미국</t>
        </is>
      </c>
      <c r="K17" s="3" t="n">
        <v>2120</v>
      </c>
      <c r="L17" s="3" t="n">
        <v>2000</v>
      </c>
      <c r="M17" s="4">
        <f>K17-L17</f>
        <v/>
      </c>
      <c r="N17" s="5">
        <f>IF(K17=0,0,M17/K17)</f>
        <v/>
      </c>
      <c r="O17" s="6" t="n">
        <v>14100</v>
      </c>
      <c r="P17" s="4">
        <f>O17*K17</f>
        <v/>
      </c>
      <c r="Q17" s="2" t="inlineStr">
        <is>
          <t>계약기간 만료에 따른 신규계약</t>
        </is>
      </c>
      <c r="R17" s="2" t="inlineStr">
        <is>
          <t>ㅇ 바코드 유무 : Y
ㅇ 구매속성 : IP구매
ㅇ 자재상태 : 0
ㅇ 검사속성 : 검사제외</t>
        </is>
      </c>
    </row>
    <row r="18">
      <c r="A18" s="2" t="n">
        <v>17</v>
      </c>
      <c r="B18" s="2" t="inlineStr">
        <is>
          <t>K9090175</t>
        </is>
      </c>
      <c r="C18" s="2" t="n"/>
      <c r="D18" s="2" t="inlineStr">
        <is>
          <t>10199371</t>
        </is>
      </c>
      <c r="E18" s="2" t="inlineStr">
        <is>
          <t>HAX_E1 Y-케이블, 0.1Meter</t>
        </is>
      </c>
      <c r="F18" s="2" t="inlineStr">
        <is>
          <t>K9090175</t>
        </is>
      </c>
      <c r="G18" s="2" t="inlineStr">
        <is>
          <t>E1 포트 이중화 연결 케이블</t>
        </is>
      </c>
      <c r="H18" s="2" t="inlineStr">
        <is>
          <t>EA</t>
        </is>
      </c>
      <c r="I18" s="2" t="inlineStr">
        <is>
          <t>Aviat</t>
        </is>
      </c>
      <c r="J18" s="2" t="inlineStr">
        <is>
          <t>미국</t>
        </is>
      </c>
      <c r="K18" s="3" t="n">
        <v>13780</v>
      </c>
      <c r="L18" s="3" t="n">
        <v>13000</v>
      </c>
      <c r="M18" s="4">
        <f>K18-L18</f>
        <v/>
      </c>
      <c r="N18" s="5">
        <f>IF(K18=0,0,M18/K18)</f>
        <v/>
      </c>
      <c r="O18" s="3" t="n">
        <v>0</v>
      </c>
      <c r="P18" s="4">
        <f>O18*K18</f>
        <v/>
      </c>
      <c r="Q18" s="2" t="inlineStr">
        <is>
          <t>계약기간 만료에 따른 신규계약</t>
        </is>
      </c>
      <c r="R18" s="2" t="inlineStr">
        <is>
          <t>ㅇ 바코드 유무 : Y
ㅇ 구매속성 : IP구매
ㅇ 자재상태 : 0
ㅇ 검사속성 : 검사제외</t>
        </is>
      </c>
    </row>
    <row r="19">
      <c r="A19" s="2" t="n">
        <v>18</v>
      </c>
      <c r="B19" s="2" t="inlineStr">
        <is>
          <t>K9210281</t>
        </is>
      </c>
      <c r="C19" s="2" t="n"/>
      <c r="D19" s="2" t="inlineStr">
        <is>
          <t>10004620</t>
        </is>
      </c>
      <c r="E19" s="2" t="inlineStr">
        <is>
          <t>HAX_커넥터 KIT_IF 케이블 종단용</t>
        </is>
      </c>
      <c r="F19" s="7" t="inlineStr">
        <is>
          <t>K9090176</t>
        </is>
      </c>
      <c r="G19" s="2" t="inlineStr">
        <is>
          <t>IF 케이블 종단 컨넥터</t>
        </is>
      </c>
      <c r="H19" s="2" t="inlineStr">
        <is>
          <t>EA</t>
        </is>
      </c>
      <c r="I19" s="2" t="inlineStr">
        <is>
          <t>Aviat</t>
        </is>
      </c>
      <c r="J19" s="2" t="inlineStr">
        <is>
          <t>미국</t>
        </is>
      </c>
      <c r="K19" s="3" t="n">
        <v>18000</v>
      </c>
      <c r="L19" s="3" t="n">
        <v>17000</v>
      </c>
      <c r="M19" s="4">
        <f>K19-L19</f>
        <v/>
      </c>
      <c r="N19" s="5">
        <f>IF(K19=0,0,M19/K19)</f>
        <v/>
      </c>
      <c r="O19" s="6" t="n">
        <v>396</v>
      </c>
      <c r="P19" s="4">
        <f>O19*K19</f>
        <v/>
      </c>
      <c r="Q19" s="2" t="inlineStr">
        <is>
          <t>계약기간 만료에 따른 신규계약</t>
        </is>
      </c>
      <c r="R19" s="2" t="inlineStr">
        <is>
          <t>ㅇ 바코드 유무 : Y
ㅇ 구매속성 : IP구매
ㅇ 자재상태 : 0
ㅇ 검사속성 : 검사제외</t>
        </is>
      </c>
    </row>
    <row r="20">
      <c r="A20" s="2" t="n">
        <v>19</v>
      </c>
      <c r="B20" s="2" t="inlineStr">
        <is>
          <t>K9090177</t>
        </is>
      </c>
      <c r="C20" s="2" t="n"/>
      <c r="D20" s="2" t="inlineStr">
        <is>
          <t>10004621</t>
        </is>
      </c>
      <c r="E20" s="2" t="inlineStr">
        <is>
          <t>HAX_8G용 Waveguide WR112 UDR84/UDR84(3ft)</t>
        </is>
      </c>
      <c r="F20" s="2" t="inlineStr">
        <is>
          <t>K9090177</t>
        </is>
      </c>
      <c r="G20" s="2" t="inlineStr">
        <is>
          <t>8Ghz용 W/G, ODU와 ANT연결용</t>
        </is>
      </c>
      <c r="H20" s="2" t="inlineStr">
        <is>
          <t>EA</t>
        </is>
      </c>
      <c r="I20" s="2" t="inlineStr">
        <is>
          <t>Aviat</t>
        </is>
      </c>
      <c r="J20" s="2" t="inlineStr">
        <is>
          <t>미국</t>
        </is>
      </c>
      <c r="K20" s="3" t="n">
        <v>103810</v>
      </c>
      <c r="L20" s="3" t="n">
        <v>100000</v>
      </c>
      <c r="M20" s="4">
        <f>K20-L20</f>
        <v/>
      </c>
      <c r="N20" s="5">
        <f>IF(K20=0,0,M20/K20)</f>
        <v/>
      </c>
      <c r="O20" s="3" t="n">
        <v>0</v>
      </c>
      <c r="P20" s="4">
        <f>O20*K20</f>
        <v/>
      </c>
      <c r="Q20" s="2" t="inlineStr">
        <is>
          <t>계약기간 만료에 따른 신규계약</t>
        </is>
      </c>
      <c r="R20" s="2" t="inlineStr">
        <is>
          <t>ㅇ 바코드 유무 : Y
ㅇ 구매속성 : IP구매
ㅇ 자재상태 : 0
ㅇ 검사속성 : 검사제외</t>
        </is>
      </c>
    </row>
    <row r="21">
      <c r="A21" s="2" t="n">
        <v>20</v>
      </c>
      <c r="B21" s="2" t="inlineStr">
        <is>
          <t>K9090178</t>
        </is>
      </c>
      <c r="C21" s="2" t="n"/>
      <c r="D21" s="2" t="inlineStr">
        <is>
          <t>10004622</t>
        </is>
      </c>
      <c r="E21" s="2" t="inlineStr">
        <is>
          <t>HAX_111G용 Waveguide WR90 UDR100/UDR100(3ft)</t>
        </is>
      </c>
      <c r="F21" s="2" t="inlineStr">
        <is>
          <t>K9090178</t>
        </is>
      </c>
      <c r="G21" s="2" t="inlineStr">
        <is>
          <t>11Ghz용 W/G, ODU와 ANT연결용</t>
        </is>
      </c>
      <c r="H21" s="2" t="inlineStr">
        <is>
          <t>EA</t>
        </is>
      </c>
      <c r="I21" s="2" t="inlineStr">
        <is>
          <t>Aviat</t>
        </is>
      </c>
      <c r="J21" s="2" t="inlineStr">
        <is>
          <t>미국</t>
        </is>
      </c>
      <c r="K21" s="3" t="n">
        <v>98990</v>
      </c>
      <c r="L21" s="3" t="n">
        <v>96000</v>
      </c>
      <c r="M21" s="4">
        <f>K21-L21</f>
        <v/>
      </c>
      <c r="N21" s="5">
        <f>IF(K21=0,0,M21/K21)</f>
        <v/>
      </c>
      <c r="O21" s="3" t="n">
        <v>0</v>
      </c>
      <c r="P21" s="4">
        <f>O21*K21</f>
        <v/>
      </c>
      <c r="Q21" s="2" t="inlineStr">
        <is>
          <t>계약기간 만료에 따른 신규계약</t>
        </is>
      </c>
      <c r="R21" s="2" t="inlineStr">
        <is>
          <t>ㅇ 바코드 유무 : Y
ㅇ 구매속성 : IP구매
ㅇ 자재상태 : 0
ㅇ 검사속성 : 검사제외</t>
        </is>
      </c>
    </row>
    <row r="22">
      <c r="A22" s="2" t="n">
        <v>21</v>
      </c>
      <c r="B22" s="2" t="inlineStr">
        <is>
          <t>K9210280</t>
        </is>
      </c>
      <c r="C22" s="2" t="n"/>
      <c r="D22" s="2" t="inlineStr">
        <is>
          <t>10004623</t>
        </is>
      </c>
      <c r="E22" s="2" t="inlineStr">
        <is>
          <t>HAX_Arrestor KIT("N"형 M,F콘넥터 각1EA 포함)</t>
        </is>
      </c>
      <c r="F22" s="7" t="inlineStr">
        <is>
          <t>K9090179</t>
        </is>
      </c>
      <c r="G22" s="2" t="inlineStr">
        <is>
          <t>IDU/ODU 연결 케이블 내 낙뢰 보호기(2개 1셋)</t>
        </is>
      </c>
      <c r="H22" s="2" t="inlineStr">
        <is>
          <t>EA</t>
        </is>
      </c>
      <c r="I22" s="2" t="inlineStr">
        <is>
          <t>Aviat</t>
        </is>
      </c>
      <c r="J22" s="2" t="inlineStr">
        <is>
          <t>미국</t>
        </is>
      </c>
      <c r="K22" s="3" t="n">
        <v>126070</v>
      </c>
      <c r="L22" s="3" t="n">
        <v>120000</v>
      </c>
      <c r="M22" s="4">
        <f>K22-L22</f>
        <v/>
      </c>
      <c r="N22" s="5">
        <f>IF(K22=0,0,M22/K22)</f>
        <v/>
      </c>
      <c r="O22" s="6" t="n">
        <v>348</v>
      </c>
      <c r="P22" s="4">
        <f>O22*K22</f>
        <v/>
      </c>
      <c r="Q22" s="2" t="inlineStr">
        <is>
          <t>계약기간 만료에 따른 신규계약</t>
        </is>
      </c>
      <c r="R22" s="2" t="inlineStr">
        <is>
          <t>ㅇ 바코드 유무 : Y
ㅇ 구매속성 : IP구매
ㅇ 자재상태 : 0
ㅇ 검사속성 : 검사제외</t>
        </is>
      </c>
    </row>
    <row r="23">
      <c r="A23" s="2" t="n">
        <v>22</v>
      </c>
      <c r="B23" s="2" t="inlineStr">
        <is>
          <t>K9090180</t>
        </is>
      </c>
      <c r="C23" s="2" t="n"/>
      <c r="D23" s="2" t="inlineStr">
        <is>
          <t>10004624</t>
        </is>
      </c>
      <c r="E23" s="2" t="inlineStr">
        <is>
          <t>HAX_8G용 Coupler KIT</t>
        </is>
      </c>
      <c r="F23" s="2" t="inlineStr">
        <is>
          <t>K9090180</t>
        </is>
      </c>
      <c r="G23" s="2" t="inlineStr">
        <is>
          <t>1+1 ODU 설치용 커플러</t>
        </is>
      </c>
      <c r="H23" s="2" t="inlineStr">
        <is>
          <t>EA</t>
        </is>
      </c>
      <c r="I23" s="2" t="inlineStr">
        <is>
          <t>Aviat</t>
        </is>
      </c>
      <c r="J23" s="2" t="inlineStr">
        <is>
          <t>미국</t>
        </is>
      </c>
      <c r="K23" s="3" t="n">
        <v>624350</v>
      </c>
      <c r="L23" s="3" t="n">
        <v>610000</v>
      </c>
      <c r="M23" s="4">
        <f>K23-L23</f>
        <v/>
      </c>
      <c r="N23" s="5">
        <f>IF(K23=0,0,M23/K23)</f>
        <v/>
      </c>
      <c r="O23" s="3" t="n">
        <v>0</v>
      </c>
      <c r="P23" s="4">
        <f>O23*K23</f>
        <v/>
      </c>
      <c r="Q23" s="2" t="inlineStr">
        <is>
          <t>계약기간 만료에 따른 신규계약</t>
        </is>
      </c>
      <c r="R23" s="2" t="inlineStr">
        <is>
          <t>ㅇ 바코드 유무 : Y
ㅇ 구매속성 : IP구매
ㅇ 자재상태 : 0
ㅇ 검사속성 : 검사제외</t>
        </is>
      </c>
    </row>
    <row r="24">
      <c r="A24" s="2" t="n">
        <v>23</v>
      </c>
      <c r="B24" s="2" t="inlineStr">
        <is>
          <t>K9090181</t>
        </is>
      </c>
      <c r="C24" s="2" t="n"/>
      <c r="D24" s="2" t="inlineStr">
        <is>
          <t>10004625</t>
        </is>
      </c>
      <c r="E24" s="2" t="inlineStr">
        <is>
          <t>HAX_11G용 Coupler KIT</t>
        </is>
      </c>
      <c r="F24" s="2" t="inlineStr">
        <is>
          <t>K9090181</t>
        </is>
      </c>
      <c r="G24" s="2" t="inlineStr">
        <is>
          <t>1+1 ODU 설치용 커플러</t>
        </is>
      </c>
      <c r="H24" s="2" t="inlineStr">
        <is>
          <t>EA</t>
        </is>
      </c>
      <c r="I24" s="2" t="inlineStr">
        <is>
          <t>Aviat</t>
        </is>
      </c>
      <c r="J24" s="2" t="inlineStr">
        <is>
          <t>미국</t>
        </is>
      </c>
      <c r="K24" s="3" t="n">
        <v>856820</v>
      </c>
      <c r="L24" s="3" t="n">
        <v>839000</v>
      </c>
      <c r="M24" s="4">
        <f>K24-L24</f>
        <v/>
      </c>
      <c r="N24" s="5">
        <f>IF(K24=0,0,M24/K24)</f>
        <v/>
      </c>
      <c r="O24" s="3" t="n">
        <v>0</v>
      </c>
      <c r="P24" s="4">
        <f>O24*K24</f>
        <v/>
      </c>
      <c r="Q24" s="2" t="inlineStr">
        <is>
          <t>계약기간 만료에 따른 신규계약</t>
        </is>
      </c>
      <c r="R24" s="2" t="inlineStr">
        <is>
          <t>ㅇ 바코드 유무 : Y
ㅇ 구매속성 : IP구매
ㅇ 자재상태 : 0
ㅇ 검사속성 : 검사제외</t>
        </is>
      </c>
    </row>
    <row r="25">
      <c r="A25" s="2" t="n">
        <v>24</v>
      </c>
      <c r="B25" s="2" t="inlineStr">
        <is>
          <t>K9090182</t>
        </is>
      </c>
      <c r="C25" s="2" t="n"/>
      <c r="D25" s="2" t="inlineStr">
        <is>
          <t>10004626</t>
        </is>
      </c>
      <c r="E25" s="2" t="inlineStr">
        <is>
          <t>HAX_Pole Mount Kit</t>
        </is>
      </c>
      <c r="F25" s="2" t="inlineStr">
        <is>
          <t>K9090182</t>
        </is>
      </c>
      <c r="G25" s="2" t="inlineStr">
        <is>
          <t>ODU 철탑 고정용 KIT</t>
        </is>
      </c>
      <c r="H25" s="2" t="inlineStr">
        <is>
          <t>EA</t>
        </is>
      </c>
      <c r="I25" s="2" t="inlineStr">
        <is>
          <t>Aviat</t>
        </is>
      </c>
      <c r="J25" s="2" t="inlineStr">
        <is>
          <t>미국</t>
        </is>
      </c>
      <c r="K25" s="3" t="n">
        <v>298120</v>
      </c>
      <c r="L25" s="3" t="n">
        <v>289000</v>
      </c>
      <c r="M25" s="4">
        <f>K25-L25</f>
        <v/>
      </c>
      <c r="N25" s="5">
        <f>IF(K25=0,0,M25/K25)</f>
        <v/>
      </c>
      <c r="O25" s="3" t="n">
        <v>0</v>
      </c>
      <c r="P25" s="4">
        <f>O25*K25</f>
        <v/>
      </c>
      <c r="Q25" s="2" t="inlineStr">
        <is>
          <t>계약기간 만료에 따른 신규계약</t>
        </is>
      </c>
      <c r="R25" s="2" t="inlineStr">
        <is>
          <t>ㅇ 바코드 유무 : Y
ㅇ 구매속성 : IP구매
ㅇ 자재상태 : 0
ㅇ 검사속성 : 검사제외</t>
        </is>
      </c>
    </row>
    <row r="26">
      <c r="A26" s="2" t="n">
        <v>25</v>
      </c>
      <c r="B26" s="2" t="inlineStr">
        <is>
          <t>K9090183</t>
        </is>
      </c>
      <c r="C26" s="2" t="n"/>
      <c r="D26" s="2" t="inlineStr">
        <is>
          <t>10199373</t>
        </is>
      </c>
      <c r="E26" s="2" t="inlineStr">
        <is>
          <t>HAX_Install Tool</t>
        </is>
      </c>
      <c r="F26" s="2" t="inlineStr">
        <is>
          <t>K9090183</t>
        </is>
      </c>
      <c r="G26" s="2" t="inlineStr">
        <is>
          <t>커넥터 조립 공구</t>
        </is>
      </c>
      <c r="H26" s="2" t="inlineStr">
        <is>
          <t>EA</t>
        </is>
      </c>
      <c r="I26" s="2" t="inlineStr">
        <is>
          <t>Aviat</t>
        </is>
      </c>
      <c r="J26" s="2" t="inlineStr">
        <is>
          <t>미국</t>
        </is>
      </c>
      <c r="K26" s="3" t="n">
        <v>99370</v>
      </c>
      <c r="L26" s="3" t="n">
        <v>95000</v>
      </c>
      <c r="M26" s="4">
        <f>K26-L26</f>
        <v/>
      </c>
      <c r="N26" s="5">
        <f>IF(K26=0,0,M26/K26)</f>
        <v/>
      </c>
      <c r="O26" s="3" t="n">
        <v>0</v>
      </c>
      <c r="P26" s="4">
        <f>O26*K26</f>
        <v/>
      </c>
      <c r="Q26" s="2" t="inlineStr">
        <is>
          <t>계약기간 만료에 따른 신규계약</t>
        </is>
      </c>
      <c r="R26" s="2" t="inlineStr">
        <is>
          <t>ㅇ 바코드 유무 : Y
ㅇ 구매속성 : IP구매
ㅇ 자재상태 : 0
ㅇ 검사속성 : 검사제외</t>
        </is>
      </c>
    </row>
    <row r="27">
      <c r="A27" s="2" t="n">
        <v>26</v>
      </c>
      <c r="B27" s="2" t="inlineStr">
        <is>
          <t>K9090184</t>
        </is>
      </c>
      <c r="C27" s="2" t="n"/>
      <c r="D27" s="2" t="inlineStr">
        <is>
          <t>10198269</t>
        </is>
      </c>
      <c r="E27" s="2" t="inlineStr">
        <is>
          <t>HAX_Orderwire IP 전화기</t>
        </is>
      </c>
      <c r="F27" s="2" t="inlineStr">
        <is>
          <t>K9090184</t>
        </is>
      </c>
      <c r="G27" s="2" t="inlineStr">
        <is>
          <t>타합선용 IP 전화기</t>
        </is>
      </c>
      <c r="H27" s="2" t="inlineStr">
        <is>
          <t>EA</t>
        </is>
      </c>
      <c r="I27" s="2" t="inlineStr">
        <is>
          <t>Aviat</t>
        </is>
      </c>
      <c r="J27" s="2" t="inlineStr">
        <is>
          <t>미국</t>
        </is>
      </c>
      <c r="K27" s="3" t="n">
        <v>153500</v>
      </c>
      <c r="L27" s="3" t="n">
        <v>145000</v>
      </c>
      <c r="M27" s="4">
        <f>K27-L27</f>
        <v/>
      </c>
      <c r="N27" s="5">
        <f>IF(K27=0,0,M27/K27)</f>
        <v/>
      </c>
      <c r="O27" s="3" t="n">
        <v>0</v>
      </c>
      <c r="P27" s="4">
        <f>O27*K27</f>
        <v/>
      </c>
      <c r="Q27" s="2" t="inlineStr">
        <is>
          <t>계약기간 만료에 따른 신규계약</t>
        </is>
      </c>
      <c r="R27" s="2" t="inlineStr">
        <is>
          <t>ㅇ 바코드 유무 : Y
ㅇ 구매속성 : IP구매
ㅇ 자재상태 : 0
ㅇ 검사속성 : 검사제외</t>
        </is>
      </c>
    </row>
    <row r="28">
      <c r="A28" s="2" t="n">
        <v>27</v>
      </c>
      <c r="B28" s="2" t="inlineStr">
        <is>
          <t>K9090185</t>
        </is>
      </c>
      <c r="C28" s="2" t="n"/>
      <c r="D28" s="2" t="inlineStr">
        <is>
          <t>10198271</t>
        </is>
      </c>
      <c r="E28" s="2" t="inlineStr">
        <is>
          <t>HAX_CIT 소프트웨어_Portal</t>
        </is>
      </c>
      <c r="F28" s="2" t="inlineStr">
        <is>
          <t>K9090185</t>
        </is>
      </c>
      <c r="G28" s="2" t="inlineStr">
        <is>
          <t>NMS SW</t>
        </is>
      </c>
      <c r="H28" s="2" t="inlineStr">
        <is>
          <t>EA</t>
        </is>
      </c>
      <c r="I28" s="2" t="inlineStr">
        <is>
          <t>Aviat</t>
        </is>
      </c>
      <c r="J28" s="2" t="inlineStr">
        <is>
          <t>미국</t>
        </is>
      </c>
      <c r="K28" s="3" t="n">
        <v>52990</v>
      </c>
      <c r="L28" s="3" t="n">
        <v>50000</v>
      </c>
      <c r="M28" s="4">
        <f>K28-L28</f>
        <v/>
      </c>
      <c r="N28" s="5">
        <f>IF(K28=0,0,M28/K28)</f>
        <v/>
      </c>
      <c r="O28" s="3" t="n">
        <v>0</v>
      </c>
      <c r="P28" s="4">
        <f>O28*K28</f>
        <v/>
      </c>
      <c r="Q28" s="2" t="inlineStr">
        <is>
          <t>계약기간 만료에 따른 신규계약</t>
        </is>
      </c>
      <c r="R28" s="2" t="inlineStr">
        <is>
          <t>ㅇ 바코드 유무 : Y
ㅇ 구매속성 : IP구매
ㅇ 자재상태 : 0
ㅇ 검사속성 : 검사제외</t>
        </is>
      </c>
    </row>
    <row r="29">
      <c r="A29" s="2" t="n">
        <v>28</v>
      </c>
      <c r="B29" s="2" t="inlineStr">
        <is>
          <t>K9090186</t>
        </is>
      </c>
      <c r="C29" s="2" t="n"/>
      <c r="D29" s="2" t="inlineStr">
        <is>
          <t>10198273</t>
        </is>
      </c>
      <c r="E29" s="2" t="inlineStr">
        <is>
          <t>HAX_CIT용 컴퓨터_Desktop</t>
        </is>
      </c>
      <c r="F29" s="2" t="inlineStr">
        <is>
          <t>K9090186</t>
        </is>
      </c>
      <c r="G29" s="2" t="inlineStr">
        <is>
          <t>NMS 데스크탑 PC</t>
        </is>
      </c>
      <c r="H29" s="2" t="inlineStr">
        <is>
          <t>EA</t>
        </is>
      </c>
      <c r="I29" s="2" t="inlineStr">
        <is>
          <t>Aviat</t>
        </is>
      </c>
      <c r="J29" s="2" t="inlineStr">
        <is>
          <t>미국</t>
        </is>
      </c>
      <c r="K29" s="3" t="n">
        <v>948180</v>
      </c>
      <c r="L29" s="3" t="n">
        <v>915000</v>
      </c>
      <c r="M29" s="4">
        <f>K29-L29</f>
        <v/>
      </c>
      <c r="N29" s="5">
        <f>IF(K29=0,0,M29/K29)</f>
        <v/>
      </c>
      <c r="O29" s="3" t="n">
        <v>0</v>
      </c>
      <c r="P29" s="4">
        <f>O29*K29</f>
        <v/>
      </c>
      <c r="Q29" s="2" t="inlineStr">
        <is>
          <t>계약기간 만료에 따른 신규계약</t>
        </is>
      </c>
      <c r="R29" s="2" t="inlineStr">
        <is>
          <t>ㅇ 바코드 유무 : Y
ㅇ 구매속성 : IP구매
ㅇ 자재상태 : 0
ㅇ 검사속성 : 검사제외</t>
        </is>
      </c>
    </row>
    <row r="30">
      <c r="A30" s="2" t="n">
        <v>29</v>
      </c>
      <c r="B30" s="2" t="inlineStr">
        <is>
          <t>K9090189</t>
        </is>
      </c>
      <c r="C30" s="2" t="n"/>
      <c r="D30" s="2" t="inlineStr">
        <is>
          <t>10111383</t>
        </is>
      </c>
      <c r="E30" s="2" t="inlineStr">
        <is>
          <t>HAX_Node License, 1Node</t>
        </is>
      </c>
      <c r="F30" s="2" t="inlineStr">
        <is>
          <t>K9090189</t>
        </is>
      </c>
      <c r="G30" s="2" t="inlineStr">
        <is>
          <t xml:space="preserve">HAX_Node License-1Node </t>
        </is>
      </c>
      <c r="H30" s="2" t="inlineStr">
        <is>
          <t>EA</t>
        </is>
      </c>
      <c r="I30" s="2" t="inlineStr">
        <is>
          <t>Aviat</t>
        </is>
      </c>
      <c r="J30" s="2" t="inlineStr">
        <is>
          <t>미국</t>
        </is>
      </c>
      <c r="K30" s="3" t="n">
        <v>124220</v>
      </c>
      <c r="L30" s="3" t="n">
        <v>120000</v>
      </c>
      <c r="M30" s="4">
        <f>K30-L30</f>
        <v/>
      </c>
      <c r="N30" s="5">
        <f>IF(K30=0,0,M30/K30)</f>
        <v/>
      </c>
      <c r="O30" s="3" t="n">
        <v>0</v>
      </c>
      <c r="P30" s="4">
        <f>O30*K30</f>
        <v/>
      </c>
      <c r="Q30" s="2" t="inlineStr">
        <is>
          <t>계약기간 만료에 따른 신규계약</t>
        </is>
      </c>
      <c r="R30" s="2" t="inlineStr">
        <is>
          <t>ㅇ 바코드 유무 : Y
ㅇ 구매속성 : IP구매
ㅇ 자재상태 : 0
ㅇ 검사속성 : 검사제외</t>
        </is>
      </c>
    </row>
    <row r="31">
      <c r="A31" s="2" t="n">
        <v>30</v>
      </c>
      <c r="B31" s="2" t="inlineStr">
        <is>
          <t>K9090209</t>
        </is>
      </c>
      <c r="C31" s="2" t="n"/>
      <c r="D31" s="2" t="inlineStr">
        <is>
          <t>10198275</t>
        </is>
      </c>
      <c r="E31" s="2" t="inlineStr">
        <is>
          <t>HAX_CIT 컴퓨터_notebook</t>
        </is>
      </c>
      <c r="F31" s="2" t="inlineStr">
        <is>
          <t>K9090209</t>
        </is>
      </c>
      <c r="G31" s="2" t="inlineStr">
        <is>
          <t>NMS 노트북 PC</t>
        </is>
      </c>
      <c r="H31" s="2" t="inlineStr">
        <is>
          <t>EA</t>
        </is>
      </c>
      <c r="I31" s="2" t="inlineStr">
        <is>
          <t>Aviat</t>
        </is>
      </c>
      <c r="J31" s="2" t="inlineStr">
        <is>
          <t>미국</t>
        </is>
      </c>
      <c r="K31" s="3" t="n">
        <v>1023360</v>
      </c>
      <c r="L31" s="3" t="n">
        <v>990000</v>
      </c>
      <c r="M31" s="4">
        <f>K31-L31</f>
        <v/>
      </c>
      <c r="N31" s="5">
        <f>IF(K31=0,0,M31/K31)</f>
        <v/>
      </c>
      <c r="O31" s="3" t="n">
        <v>0</v>
      </c>
      <c r="P31" s="4">
        <f>O31*K31</f>
        <v/>
      </c>
      <c r="Q31" s="2" t="inlineStr">
        <is>
          <t>계약기간 만료에 따른 신규계약</t>
        </is>
      </c>
      <c r="R31" s="2" t="inlineStr">
        <is>
          <t>ㅇ 바코드 유무 : Y
ㅇ 구매속성 : IP구매
ㅇ 자재상태 : 0
ㅇ 검사속성 : 검사제외</t>
        </is>
      </c>
    </row>
    <row r="32">
      <c r="A32" s="2" t="n">
        <v>31</v>
      </c>
      <c r="B32" s="2" t="inlineStr">
        <is>
          <t>K9093720</t>
        </is>
      </c>
      <c r="C32" s="2" t="n"/>
      <c r="D32" s="2" t="inlineStr">
        <is>
          <t>10198277</t>
        </is>
      </c>
      <c r="E32" s="2" t="inlineStr">
        <is>
          <t>HAX_8GHz, ODU300hp, Low band</t>
        </is>
      </c>
      <c r="F32" s="2" t="inlineStr">
        <is>
          <t>K9093720</t>
        </is>
      </c>
      <c r="G32" s="2" t="inlineStr">
        <is>
          <t>8GHz 옥외 설치용 무선 송수신부(Low Band)</t>
        </is>
      </c>
      <c r="H32" s="2" t="inlineStr">
        <is>
          <t>EA</t>
        </is>
      </c>
      <c r="I32" s="2" t="inlineStr">
        <is>
          <t>Aviat</t>
        </is>
      </c>
      <c r="J32" s="2" t="inlineStr">
        <is>
          <t>미국</t>
        </is>
      </c>
      <c r="K32" s="3" t="n">
        <v>3185370</v>
      </c>
      <c r="L32" s="3" t="n">
        <v>2770000</v>
      </c>
      <c r="M32" s="4">
        <f>K32-L32</f>
        <v/>
      </c>
      <c r="N32" s="5">
        <f>IF(K32=0,0,M32/K32)</f>
        <v/>
      </c>
      <c r="O32" s="3" t="n">
        <v>0</v>
      </c>
      <c r="P32" s="4">
        <f>O32*K32</f>
        <v/>
      </c>
      <c r="Q32" s="2" t="inlineStr">
        <is>
          <t>계약기간 만료에 따른 신규계약</t>
        </is>
      </c>
      <c r="R32" s="2" t="inlineStr">
        <is>
          <t>ㅇ 바코드 유무 : Y
ㅇ 구매속성 : IP구매
ㅇ 자재상태 : 0
ㅇ 검사속성 : 검사제외</t>
        </is>
      </c>
    </row>
    <row r="33">
      <c r="A33" s="2" t="n">
        <v>32</v>
      </c>
      <c r="B33" s="2" t="inlineStr">
        <is>
          <t>K9093721</t>
        </is>
      </c>
      <c r="C33" s="2" t="n"/>
      <c r="D33" s="2" t="inlineStr">
        <is>
          <t>10198279</t>
        </is>
      </c>
      <c r="E33" s="2" t="inlineStr">
        <is>
          <t>HAX_8GHz, ODU300hp, High band</t>
        </is>
      </c>
      <c r="F33" s="2" t="inlineStr">
        <is>
          <t>K9093721</t>
        </is>
      </c>
      <c r="G33" s="2" t="inlineStr">
        <is>
          <t>8GHz 옥외 설치용 무선 송수신부(High Band)</t>
        </is>
      </c>
      <c r="H33" s="2" t="inlineStr">
        <is>
          <t>EA</t>
        </is>
      </c>
      <c r="I33" s="2" t="inlineStr">
        <is>
          <t>Aviat</t>
        </is>
      </c>
      <c r="J33" s="2" t="inlineStr">
        <is>
          <t>미국</t>
        </is>
      </c>
      <c r="K33" s="3" t="n">
        <v>3185370</v>
      </c>
      <c r="L33" s="3" t="n">
        <v>2770000</v>
      </c>
      <c r="M33" s="4">
        <f>K33-L33</f>
        <v/>
      </c>
      <c r="N33" s="5">
        <f>IF(K33=0,0,M33/K33)</f>
        <v/>
      </c>
      <c r="O33" s="3" t="n">
        <v>0</v>
      </c>
      <c r="P33" s="4">
        <f>O33*K33</f>
        <v/>
      </c>
      <c r="Q33" s="2" t="inlineStr">
        <is>
          <t>계약기간 만료에 따른 신규계약</t>
        </is>
      </c>
      <c r="R33" s="2" t="inlineStr">
        <is>
          <t>ㅇ 바코드 유무 : Y
ㅇ 구매속성 : IP구매
ㅇ 자재상태 : 0
ㅇ 검사속성 : 검사제외</t>
        </is>
      </c>
    </row>
    <row r="34">
      <c r="A34" s="2" t="n">
        <v>33</v>
      </c>
      <c r="B34" s="2" t="inlineStr">
        <is>
          <t>K9093722</t>
        </is>
      </c>
      <c r="C34" s="2" t="n"/>
      <c r="D34" s="2" t="inlineStr">
        <is>
          <t>10198281</t>
        </is>
      </c>
      <c r="E34" s="2" t="inlineStr">
        <is>
          <t>HAX_IDU GE 20X 20E1+Gigabit Ethernet 용</t>
        </is>
      </c>
      <c r="F34" s="2" t="inlineStr">
        <is>
          <t>K9093722</t>
        </is>
      </c>
      <c r="G34" s="2" t="inlineStr">
        <is>
          <t>20E1+GbE</t>
        </is>
      </c>
      <c r="H34" s="2" t="inlineStr">
        <is>
          <t>EA</t>
        </is>
      </c>
      <c r="I34" s="2" t="inlineStr">
        <is>
          <t>Aviat</t>
        </is>
      </c>
      <c r="J34" s="2" t="inlineStr">
        <is>
          <t>미국</t>
        </is>
      </c>
      <c r="K34" s="3" t="n">
        <v>1875000</v>
      </c>
      <c r="L34" s="3" t="n">
        <v>1500000</v>
      </c>
      <c r="M34" s="4">
        <f>K34-L34</f>
        <v/>
      </c>
      <c r="N34" s="5">
        <f>IF(K34=0,0,M34/K34)</f>
        <v/>
      </c>
      <c r="O34" s="3" t="n">
        <v>0</v>
      </c>
      <c r="P34" s="4">
        <f>O34*K34</f>
        <v/>
      </c>
      <c r="Q34" s="2" t="inlineStr">
        <is>
          <t>계약기간 만료에 따른 신규계약</t>
        </is>
      </c>
      <c r="R34" s="2" t="inlineStr">
        <is>
          <t>ㅇ 바코드 유무 : Y
ㅇ 구매속성 : IP구매
ㅇ 자재상태 : 0
ㅇ 검사속성 : 검사제외</t>
        </is>
      </c>
    </row>
    <row r="35">
      <c r="A35" s="2" t="n">
        <v>34</v>
      </c>
      <c r="B35" s="2" t="inlineStr">
        <is>
          <t>K9210279</t>
        </is>
      </c>
      <c r="C35" s="2" t="n"/>
      <c r="D35" s="2" t="inlineStr">
        <is>
          <t>10004627</t>
        </is>
      </c>
      <c r="E35" s="2" t="inlineStr">
        <is>
          <t>HAX_Gigabit Ethernet SFP</t>
        </is>
      </c>
      <c r="F35" s="7" t="inlineStr">
        <is>
          <t>K9093723</t>
        </is>
      </c>
      <c r="G35" s="2" t="inlineStr">
        <is>
          <t>1GbE 광모듈</t>
        </is>
      </c>
      <c r="H35" s="2" t="inlineStr">
        <is>
          <t>EA</t>
        </is>
      </c>
      <c r="I35" s="2" t="inlineStr">
        <is>
          <t>Aviat</t>
        </is>
      </c>
      <c r="J35" s="2" t="inlineStr">
        <is>
          <t>미국</t>
        </is>
      </c>
      <c r="K35" s="3" t="n">
        <v>74180</v>
      </c>
      <c r="L35" s="3" t="n">
        <v>70000</v>
      </c>
      <c r="M35" s="4">
        <f>K35-L35</f>
        <v/>
      </c>
      <c r="N35" s="5">
        <f>IF(K35=0,0,M35/K35)</f>
        <v/>
      </c>
      <c r="O35" s="6" t="n">
        <v>324</v>
      </c>
      <c r="P35" s="4">
        <f>O35*K35</f>
        <v/>
      </c>
      <c r="Q35" s="2" t="inlineStr">
        <is>
          <t>계약기간 만료에 따른 신규계약</t>
        </is>
      </c>
      <c r="R35" s="2" t="inlineStr">
        <is>
          <t>ㅇ 바코드 유무 : Y
ㅇ 구매속성 : IP구매
ㅇ 자재상태 : 0
ㅇ 검사속성 : 검사제외</t>
        </is>
      </c>
    </row>
    <row r="36">
      <c r="A36" s="2" t="n">
        <v>35</v>
      </c>
      <c r="B36" s="2" t="inlineStr">
        <is>
          <t>K9093724</t>
        </is>
      </c>
      <c r="C36" s="2" t="n"/>
      <c r="D36" s="2" t="inlineStr">
        <is>
          <t>10198283</t>
        </is>
      </c>
      <c r="E36" s="2" t="inlineStr">
        <is>
          <t>HAX_IDU_INUe_DAC 16x</t>
        </is>
      </c>
      <c r="F36" s="2" t="inlineStr">
        <is>
          <t>K9093724</t>
        </is>
      </c>
      <c r="G36" s="2" t="inlineStr">
        <is>
          <t>16E1 수용</t>
        </is>
      </c>
      <c r="H36" s="2" t="inlineStr">
        <is>
          <t>EA</t>
        </is>
      </c>
      <c r="I36" s="2" t="inlineStr">
        <is>
          <t>Aviat</t>
        </is>
      </c>
      <c r="J36" s="2" t="inlineStr">
        <is>
          <t>미국</t>
        </is>
      </c>
      <c r="K36" s="3" t="n">
        <v>856890</v>
      </c>
      <c r="L36" s="3" t="n">
        <v>830000</v>
      </c>
      <c r="M36" s="4">
        <f>K36-L36</f>
        <v/>
      </c>
      <c r="N36" s="5">
        <f>IF(K36=0,0,M36/K36)</f>
        <v/>
      </c>
      <c r="O36" s="3" t="n">
        <v>0</v>
      </c>
      <c r="P36" s="4">
        <f>O36*K36</f>
        <v/>
      </c>
      <c r="Q36" s="2" t="inlineStr">
        <is>
          <t>계약기간 만료에 따른 신규계약</t>
        </is>
      </c>
      <c r="R36" s="2" t="inlineStr">
        <is>
          <t>ㅇ 바코드 유무 : Y
ㅇ 구매속성 : IP구매
ㅇ 자재상태 : 0
ㅇ 검사속성 : 검사제외</t>
        </is>
      </c>
    </row>
    <row r="37">
      <c r="A37" s="2" t="n">
        <v>36</v>
      </c>
      <c r="B37" s="2" t="inlineStr">
        <is>
          <t>K9093725</t>
        </is>
      </c>
      <c r="C37" s="2" t="n"/>
      <c r="D37" s="2" t="inlineStr">
        <is>
          <t>10198285</t>
        </is>
      </c>
      <c r="E37" s="2" t="inlineStr">
        <is>
          <t>HAX_E1 분배반</t>
        </is>
      </c>
      <c r="F37" s="2" t="inlineStr">
        <is>
          <t>K9093725</t>
        </is>
      </c>
      <c r="G37" s="2" t="inlineStr">
        <is>
          <t>E1 신호 이중화 분배반</t>
        </is>
      </c>
      <c r="H37" s="2" t="inlineStr">
        <is>
          <t>EA</t>
        </is>
      </c>
      <c r="I37" s="2" t="inlineStr">
        <is>
          <t>Aviat</t>
        </is>
      </c>
      <c r="J37" s="2" t="inlineStr">
        <is>
          <t>미국</t>
        </is>
      </c>
      <c r="K37" s="3" t="n">
        <v>282930</v>
      </c>
      <c r="L37" s="3" t="n">
        <v>250000</v>
      </c>
      <c r="M37" s="4">
        <f>K37-L37</f>
        <v/>
      </c>
      <c r="N37" s="5">
        <f>IF(K37=0,0,M37/K37)</f>
        <v/>
      </c>
      <c r="O37" s="3" t="n">
        <v>0</v>
      </c>
      <c r="P37" s="4">
        <f>O37*K37</f>
        <v/>
      </c>
      <c r="Q37" s="2" t="inlineStr">
        <is>
          <t>계약기간 만료에 따른 신규계약</t>
        </is>
      </c>
      <c r="R37" s="2" t="inlineStr">
        <is>
          <t>ㅇ 바코드 유무 : Y
ㅇ 구매속성 : IP구매
ㅇ 자재상태 : 0
ㅇ 검사속성 : 검사제외</t>
        </is>
      </c>
    </row>
    <row r="38">
      <c r="A38" s="2" t="n">
        <v>37</v>
      </c>
      <c r="B38" s="2" t="inlineStr">
        <is>
          <t>K9118257</t>
        </is>
      </c>
      <c r="C38" s="2" t="n"/>
      <c r="D38" s="2" t="inlineStr">
        <is>
          <t>10004634</t>
        </is>
      </c>
      <c r="E38" s="2" t="inlineStr">
        <is>
          <t>HAX_DS3 Y-Cable, Slimline BNC to Stnd BNC</t>
        </is>
      </c>
      <c r="F38" s="2" t="inlineStr">
        <is>
          <t>K9118257</t>
        </is>
      </c>
      <c r="G38" s="2" t="inlineStr">
        <is>
          <t>DS3 Y-케이블</t>
        </is>
      </c>
      <c r="H38" s="2" t="inlineStr">
        <is>
          <t>EA</t>
        </is>
      </c>
      <c r="I38" s="2" t="inlineStr">
        <is>
          <t>Aviat</t>
        </is>
      </c>
      <c r="J38" s="2" t="inlineStr">
        <is>
          <t>미국</t>
        </is>
      </c>
      <c r="K38" s="3" t="n">
        <v>185000</v>
      </c>
      <c r="L38" s="3" t="n">
        <v>175000</v>
      </c>
      <c r="M38" s="4">
        <f>K38-L38</f>
        <v/>
      </c>
      <c r="N38" s="5">
        <f>IF(K38=0,0,M38/K38)</f>
        <v/>
      </c>
      <c r="O38" s="3" t="n">
        <v>0</v>
      </c>
      <c r="P38" s="4">
        <f>O38*K38</f>
        <v/>
      </c>
      <c r="Q38" s="2" t="inlineStr">
        <is>
          <t>계약기간 만료에 따른 신규계약</t>
        </is>
      </c>
      <c r="R38" s="2" t="inlineStr">
        <is>
          <t>ㅇ 바코드 유무 : Y
ㅇ 구매속성 : IP구매
ㅇ 자재상태 : 0
ㅇ 검사속성 : 검사제외</t>
        </is>
      </c>
    </row>
    <row r="39">
      <c r="A39" s="2" t="n">
        <v>38</v>
      </c>
      <c r="B39" s="2" t="inlineStr">
        <is>
          <t>K9118258</t>
        </is>
      </c>
      <c r="C39" s="2" t="n"/>
      <c r="D39" s="2" t="inlineStr">
        <is>
          <t>10004633</t>
        </is>
      </c>
      <c r="E39" s="2" t="inlineStr">
        <is>
          <t>Microwave_HAX_IDU_INUe_DAC 3xE3/DS3M</t>
        </is>
      </c>
      <c r="F39" s="2" t="inlineStr">
        <is>
          <t>K9118258</t>
        </is>
      </c>
      <c r="G39" s="2" t="inlineStr">
        <is>
          <t>DS3 인터페이스 카드</t>
        </is>
      </c>
      <c r="H39" s="2" t="inlineStr">
        <is>
          <t>EA</t>
        </is>
      </c>
      <c r="I39" s="2" t="inlineStr">
        <is>
          <t>Aviat</t>
        </is>
      </c>
      <c r="J39" s="2" t="inlineStr">
        <is>
          <t>미국</t>
        </is>
      </c>
      <c r="K39" s="3" t="n">
        <v>1500000</v>
      </c>
      <c r="L39" s="3" t="n">
        <v>1455000</v>
      </c>
      <c r="M39" s="4">
        <f>K39-L39</f>
        <v/>
      </c>
      <c r="N39" s="5">
        <f>IF(K39=0,0,M39/K39)</f>
        <v/>
      </c>
      <c r="O39" s="3" t="n">
        <v>0</v>
      </c>
      <c r="P39" s="4">
        <f>O39*K39</f>
        <v/>
      </c>
      <c r="Q39" s="2" t="inlineStr">
        <is>
          <t>계약기간 만료에 따른 신규계약</t>
        </is>
      </c>
      <c r="R39" s="2" t="inlineStr">
        <is>
          <t>ㅇ 바코드 유무 : Y
ㅇ 구매속성 : IP구매
ㅇ 자재상태 : 0
ㅇ 검사속성 : 검사제외</t>
        </is>
      </c>
    </row>
    <row r="40">
      <c r="A40" s="2" t="n">
        <v>39</v>
      </c>
      <c r="B40" s="2" t="inlineStr">
        <is>
          <t>K9119263</t>
        </is>
      </c>
      <c r="C40" s="2" t="n"/>
      <c r="D40" s="2" t="inlineStr">
        <is>
          <t>10198287</t>
        </is>
      </c>
      <c r="E40" s="2" t="inlineStr">
        <is>
          <t>HAX_U6GHz ODU300hp Low Band</t>
        </is>
      </c>
      <c r="F40" s="2" t="inlineStr">
        <is>
          <t>K9119263</t>
        </is>
      </c>
      <c r="G40" s="2" t="inlineStr">
        <is>
          <t>U6GHz 옥외 설치용 무선 송수신부(Low Band)</t>
        </is>
      </c>
      <c r="H40" s="2" t="inlineStr">
        <is>
          <t>EA</t>
        </is>
      </c>
      <c r="I40" s="2" t="inlineStr">
        <is>
          <t>Aviat</t>
        </is>
      </c>
      <c r="J40" s="2" t="inlineStr">
        <is>
          <t>미국</t>
        </is>
      </c>
      <c r="K40" s="3" t="n">
        <v>3445370</v>
      </c>
      <c r="L40" s="3" t="n">
        <v>2770000</v>
      </c>
      <c r="M40" s="4">
        <f>K40-L40</f>
        <v/>
      </c>
      <c r="N40" s="5">
        <f>IF(K40=0,0,M40/K40)</f>
        <v/>
      </c>
      <c r="O40" s="3" t="n">
        <v>0</v>
      </c>
      <c r="P40" s="4">
        <f>O40*K40</f>
        <v/>
      </c>
      <c r="Q40" s="2" t="inlineStr">
        <is>
          <t>계약기간 만료에 따른 신규계약</t>
        </is>
      </c>
      <c r="R40" s="2" t="inlineStr">
        <is>
          <t>ㅇ 바코드 유무 : Y
ㅇ 구매속성 : IP구매
ㅇ 자재상태 : 0
ㅇ 검사속성 : 검사제외</t>
        </is>
      </c>
    </row>
    <row r="41">
      <c r="A41" s="2" t="n">
        <v>40</v>
      </c>
      <c r="B41" s="2" t="inlineStr">
        <is>
          <t>K9119264</t>
        </is>
      </c>
      <c r="C41" s="2" t="n"/>
      <c r="D41" s="2" t="inlineStr">
        <is>
          <t>10004631</t>
        </is>
      </c>
      <c r="E41" s="2" t="inlineStr">
        <is>
          <t>HAX_STM-1-SC</t>
        </is>
      </c>
      <c r="F41" s="2" t="inlineStr">
        <is>
          <t>K9119264</t>
        </is>
      </c>
      <c r="G41" s="2" t="inlineStr">
        <is>
          <t>STM-1 인터페이스 카드</t>
        </is>
      </c>
      <c r="H41" s="2" t="inlineStr">
        <is>
          <t>EA</t>
        </is>
      </c>
      <c r="I41" s="2" t="inlineStr">
        <is>
          <t>Aviat</t>
        </is>
      </c>
      <c r="J41" s="2" t="inlineStr">
        <is>
          <t>미국</t>
        </is>
      </c>
      <c r="K41" s="3" t="n">
        <v>2798980</v>
      </c>
      <c r="L41" s="3" t="n">
        <v>2700000</v>
      </c>
      <c r="M41" s="4">
        <f>K41-L41</f>
        <v/>
      </c>
      <c r="N41" s="5">
        <f>IF(K41=0,0,M41/K41)</f>
        <v/>
      </c>
      <c r="O41" s="3" t="n">
        <v>0</v>
      </c>
      <c r="P41" s="4">
        <f>O41*K41</f>
        <v/>
      </c>
      <c r="Q41" s="2" t="inlineStr">
        <is>
          <t>계약기간 만료에 따른 신규계약</t>
        </is>
      </c>
      <c r="R41" s="2" t="inlineStr">
        <is>
          <t>ㅇ 바코드 유무 : Y
ㅇ 구매속성 : IP구매
ㅇ 자재상태 : 0
ㅇ 검사속성 : 검사제외</t>
        </is>
      </c>
    </row>
    <row r="42">
      <c r="A42" s="2" t="n">
        <v>41</v>
      </c>
      <c r="B42" s="2" t="inlineStr">
        <is>
          <t>K9119265</t>
        </is>
      </c>
      <c r="C42" s="2" t="n"/>
      <c r="D42" s="2" t="inlineStr">
        <is>
          <t>10004630</t>
        </is>
      </c>
      <c r="E42" s="2" t="inlineStr">
        <is>
          <t>HAX_E1 Y-Cable_DAC 16x V2용</t>
        </is>
      </c>
      <c r="F42" s="2" t="inlineStr">
        <is>
          <t>K9119265</t>
        </is>
      </c>
      <c r="G42" s="2" t="inlineStr">
        <is>
          <t>1개에 8E1용 수용(신형)</t>
        </is>
      </c>
      <c r="H42" s="2" t="inlineStr">
        <is>
          <t>EA</t>
        </is>
      </c>
      <c r="I42" s="2" t="inlineStr">
        <is>
          <t>Aviat</t>
        </is>
      </c>
      <c r="J42" s="2" t="inlineStr">
        <is>
          <t>미국</t>
        </is>
      </c>
      <c r="K42" s="3" t="n">
        <v>149540</v>
      </c>
      <c r="L42" s="3" t="n">
        <v>145000</v>
      </c>
      <c r="M42" s="4">
        <f>K42-L42</f>
        <v/>
      </c>
      <c r="N42" s="5">
        <f>IF(K42=0,0,M42/K42)</f>
        <v/>
      </c>
      <c r="O42" s="3" t="n">
        <v>0</v>
      </c>
      <c r="P42" s="4">
        <f>O42*K42</f>
        <v/>
      </c>
      <c r="Q42" s="2" t="inlineStr">
        <is>
          <t>계약기간 만료에 따른 신규계약</t>
        </is>
      </c>
      <c r="R42" s="2" t="inlineStr">
        <is>
          <t>ㅇ 바코드 유무 : Y
ㅇ 구매속성 : IP구매
ㅇ 자재상태 : 0
ㅇ 검사속성 : 검사제외</t>
        </is>
      </c>
    </row>
    <row r="43">
      <c r="A43" s="2" t="n">
        <v>42</v>
      </c>
      <c r="B43" s="2" t="inlineStr">
        <is>
          <t>K9119266</t>
        </is>
      </c>
      <c r="C43" s="2" t="n"/>
      <c r="D43" s="2" t="inlineStr">
        <is>
          <t>10004629</t>
        </is>
      </c>
      <c r="E43" s="2" t="inlineStr">
        <is>
          <t>HAX_DAC 16x V2</t>
        </is>
      </c>
      <c r="F43" s="2" t="inlineStr">
        <is>
          <t>K9119266</t>
        </is>
      </c>
      <c r="G43" s="2" t="inlineStr">
        <is>
          <t>유니트 절체기능 추가(신형)</t>
        </is>
      </c>
      <c r="H43" s="2" t="inlineStr">
        <is>
          <t>EA</t>
        </is>
      </c>
      <c r="I43" s="2" t="inlineStr">
        <is>
          <t>Aviat</t>
        </is>
      </c>
      <c r="J43" s="2" t="inlineStr">
        <is>
          <t>미국</t>
        </is>
      </c>
      <c r="K43" s="3" t="n">
        <v>690000</v>
      </c>
      <c r="L43" s="3" t="n">
        <v>680000</v>
      </c>
      <c r="M43" s="4">
        <f>K43-L43</f>
        <v/>
      </c>
      <c r="N43" s="5">
        <f>IF(K43=0,0,M43/K43)</f>
        <v/>
      </c>
      <c r="O43" s="3" t="n">
        <v>0</v>
      </c>
      <c r="P43" s="4">
        <f>O43*K43</f>
        <v/>
      </c>
      <c r="Q43" s="2" t="inlineStr">
        <is>
          <t>계약기간 만료에 따른 신규계약</t>
        </is>
      </c>
      <c r="R43" s="2" t="inlineStr">
        <is>
          <t>ㅇ 바코드 유무 : Y
ㅇ 구매속성 : IP구매
ㅇ 자재상태 : 0
ㅇ 검사속성 : 검사제외</t>
        </is>
      </c>
    </row>
    <row r="44">
      <c r="A44" s="2" t="n">
        <v>43</v>
      </c>
      <c r="B44" s="2" t="inlineStr">
        <is>
          <t>K9119270</t>
        </is>
      </c>
      <c r="C44" s="2" t="n"/>
      <c r="D44" s="2" t="inlineStr">
        <is>
          <t>10198293</t>
        </is>
      </c>
      <c r="E44" s="2" t="inlineStr">
        <is>
          <t>HAX_L6GHz ODU300hp Low Band</t>
        </is>
      </c>
      <c r="F44" s="2" t="inlineStr">
        <is>
          <t>K9119270</t>
        </is>
      </c>
      <c r="G44" s="2" t="inlineStr">
        <is>
          <t>L6GHz 옥외 설치용 무선 송수신부(Low Band)</t>
        </is>
      </c>
      <c r="H44" s="2" t="inlineStr">
        <is>
          <t>EA</t>
        </is>
      </c>
      <c r="I44" s="2" t="inlineStr">
        <is>
          <t>Aviat</t>
        </is>
      </c>
      <c r="J44" s="2" t="inlineStr">
        <is>
          <t>미국</t>
        </is>
      </c>
      <c r="K44" s="3" t="n">
        <v>3462500</v>
      </c>
      <c r="L44" s="3" t="n">
        <v>2770000</v>
      </c>
      <c r="M44" s="4">
        <f>K44-L44</f>
        <v/>
      </c>
      <c r="N44" s="5">
        <f>IF(K44=0,0,M44/K44)</f>
        <v/>
      </c>
      <c r="O44" s="3" t="n">
        <v>0</v>
      </c>
      <c r="P44" s="4">
        <f>O44*K44</f>
        <v/>
      </c>
      <c r="Q44" s="2" t="inlineStr">
        <is>
          <t>계약기간 만료에 따른 신규계약</t>
        </is>
      </c>
      <c r="R44" s="2" t="inlineStr">
        <is>
          <t>ㅇ 바코드 유무 : Y
ㅇ 구매속성 : IP구매
ㅇ 자재상태 : 0
ㅇ 검사속성 : 검사제외</t>
        </is>
      </c>
    </row>
    <row r="45">
      <c r="A45" s="2" t="n">
        <v>44</v>
      </c>
      <c r="B45" s="2" t="inlineStr">
        <is>
          <t>K9119271</t>
        </is>
      </c>
      <c r="C45" s="2" t="n"/>
      <c r="D45" s="2" t="inlineStr">
        <is>
          <t>10198295</t>
        </is>
      </c>
      <c r="E45" s="2" t="inlineStr">
        <is>
          <t>HAX_L6GHz ODU300hp High Band</t>
        </is>
      </c>
      <c r="F45" s="2" t="inlineStr">
        <is>
          <t>K9119271</t>
        </is>
      </c>
      <c r="G45" s="2" t="inlineStr">
        <is>
          <t>L6GHz 옥외 설치용 무선 송수신부(High Band)</t>
        </is>
      </c>
      <c r="H45" s="2" t="inlineStr">
        <is>
          <t>EA</t>
        </is>
      </c>
      <c r="I45" s="2" t="inlineStr">
        <is>
          <t>Aviat</t>
        </is>
      </c>
      <c r="J45" s="2" t="inlineStr">
        <is>
          <t>미국</t>
        </is>
      </c>
      <c r="K45" s="3" t="n">
        <v>3462500</v>
      </c>
      <c r="L45" s="3" t="n">
        <v>2770000</v>
      </c>
      <c r="M45" s="4">
        <f>K45-L45</f>
        <v/>
      </c>
      <c r="N45" s="5">
        <f>IF(K45=0,0,M45/K45)</f>
        <v/>
      </c>
      <c r="O45" s="3" t="n">
        <v>0</v>
      </c>
      <c r="P45" s="4">
        <f>O45*K45</f>
        <v/>
      </c>
      <c r="Q45" s="2" t="inlineStr">
        <is>
          <t>계약기간 만료에 따른 신규계약</t>
        </is>
      </c>
      <c r="R45" s="2" t="inlineStr">
        <is>
          <t>ㅇ 바코드 유무 : Y
ㅇ 구매속성 : IP구매
ㅇ 자재상태 : 0
ㅇ 검사속성 : 검사제외</t>
        </is>
      </c>
    </row>
    <row r="46">
      <c r="A46" s="2" t="n">
        <v>45</v>
      </c>
      <c r="B46" s="2" t="inlineStr">
        <is>
          <t>K9119272</t>
        </is>
      </c>
      <c r="C46" s="2" t="n"/>
      <c r="D46" s="2" t="inlineStr">
        <is>
          <t>10198291</t>
        </is>
      </c>
      <c r="E46" s="2" t="inlineStr">
        <is>
          <t>HAX_U6GHz ODU300hp High Band</t>
        </is>
      </c>
      <c r="F46" s="2" t="inlineStr">
        <is>
          <t>K9119272</t>
        </is>
      </c>
      <c r="G46" s="2" t="inlineStr">
        <is>
          <t>U6GHz 옥외 설치용 무선 송수신부(High Band)</t>
        </is>
      </c>
      <c r="H46" s="2" t="inlineStr">
        <is>
          <t>EA</t>
        </is>
      </c>
      <c r="I46" s="2" t="inlineStr">
        <is>
          <t>Aviat</t>
        </is>
      </c>
      <c r="J46" s="2" t="inlineStr">
        <is>
          <t>미국</t>
        </is>
      </c>
      <c r="K46" s="3" t="n">
        <v>3462500</v>
      </c>
      <c r="L46" s="3" t="n">
        <v>2770000</v>
      </c>
      <c r="M46" s="4">
        <f>K46-L46</f>
        <v/>
      </c>
      <c r="N46" s="5">
        <f>IF(K46=0,0,M46/K46)</f>
        <v/>
      </c>
      <c r="O46" s="3" t="n">
        <v>0</v>
      </c>
      <c r="P46" s="4">
        <f>O46*K46</f>
        <v/>
      </c>
      <c r="Q46" s="2" t="inlineStr">
        <is>
          <t>계약기간 만료에 따른 신규계약</t>
        </is>
      </c>
      <c r="R46" s="2" t="inlineStr">
        <is>
          <t>ㅇ 바코드 유무 : Y
ㅇ 구매속성 : IP구매
ㅇ 자재상태 : 0
ㅇ 검사속성 : 검사제외</t>
        </is>
      </c>
    </row>
    <row r="47">
      <c r="A47" s="2" t="n">
        <v>46</v>
      </c>
      <c r="B47" s="2" t="inlineStr">
        <is>
          <t>K9119273</t>
        </is>
      </c>
      <c r="C47" s="2" t="n"/>
      <c r="D47" s="2" t="inlineStr">
        <is>
          <t>10198297</t>
        </is>
      </c>
      <c r="E47" s="2" t="inlineStr">
        <is>
          <t>HAX_6G용 Coupler KIT</t>
        </is>
      </c>
      <c r="F47" s="2" t="inlineStr">
        <is>
          <t>K9119273</t>
        </is>
      </c>
      <c r="G47" s="2" t="inlineStr">
        <is>
          <t>6G용 커플러</t>
        </is>
      </c>
      <c r="H47" s="2" t="inlineStr">
        <is>
          <t>EA</t>
        </is>
      </c>
      <c r="I47" s="2" t="inlineStr">
        <is>
          <t>Aviat</t>
        </is>
      </c>
      <c r="J47" s="2" t="inlineStr">
        <is>
          <t>미국</t>
        </is>
      </c>
      <c r="K47" s="3" t="n">
        <v>897250</v>
      </c>
      <c r="L47" s="3" t="n">
        <v>875000</v>
      </c>
      <c r="M47" s="4">
        <f>K47-L47</f>
        <v/>
      </c>
      <c r="N47" s="5">
        <f>IF(K47=0,0,M47/K47)</f>
        <v/>
      </c>
      <c r="O47" s="3" t="n">
        <v>0</v>
      </c>
      <c r="P47" s="4">
        <f>O47*K47</f>
        <v/>
      </c>
      <c r="Q47" s="2" t="inlineStr">
        <is>
          <t>계약기간 만료에 따른 신규계약</t>
        </is>
      </c>
      <c r="R47" s="2" t="inlineStr">
        <is>
          <t>ㅇ 바코드 유무 : Y
ㅇ 구매속성 : IP구매
ㅇ 자재상태 : 0
ㅇ 검사속성 : 검사제외</t>
        </is>
      </c>
    </row>
    <row r="48">
      <c r="A48" s="2" t="n">
        <v>47</v>
      </c>
      <c r="B48" s="2" t="inlineStr">
        <is>
          <t>K9119280</t>
        </is>
      </c>
      <c r="C48" s="2" t="n"/>
      <c r="D48" s="2" t="inlineStr">
        <is>
          <t>10004628</t>
        </is>
      </c>
      <c r="E48" s="2" t="inlineStr">
        <is>
          <t>HAX_FAN-2RU</t>
        </is>
      </c>
      <c r="F48" s="2" t="inlineStr">
        <is>
          <t>K9119280</t>
        </is>
      </c>
      <c r="G48" s="2" t="inlineStr">
        <is>
          <t>FAN 유니트(신형)</t>
        </is>
      </c>
      <c r="H48" s="2" t="inlineStr">
        <is>
          <t>EA</t>
        </is>
      </c>
      <c r="I48" s="2" t="inlineStr">
        <is>
          <t>Aviat</t>
        </is>
      </c>
      <c r="J48" s="2" t="inlineStr">
        <is>
          <t>미국</t>
        </is>
      </c>
      <c r="K48" s="3" t="n">
        <v>230000</v>
      </c>
      <c r="L48" s="3" t="n">
        <v>225000</v>
      </c>
      <c r="M48" s="4">
        <f>K48-L48</f>
        <v/>
      </c>
      <c r="N48" s="5">
        <f>IF(K48=0,0,M48/K48)</f>
        <v/>
      </c>
      <c r="O48" s="3" t="n">
        <v>0</v>
      </c>
      <c r="P48" s="4">
        <f>O48*K48</f>
        <v/>
      </c>
      <c r="Q48" s="2" t="inlineStr">
        <is>
          <t>계약기간 만료에 따른 신규계약</t>
        </is>
      </c>
      <c r="R48" s="2" t="inlineStr">
        <is>
          <t>ㅇ 바코드 유무 : Y
ㅇ 구매속성 : IP구매
ㅇ 자재상태 : 0
ㅇ 검사속성 : 검사제외</t>
        </is>
      </c>
    </row>
    <row r="49">
      <c r="A49" s="2" t="n">
        <v>48</v>
      </c>
      <c r="B49" s="2" t="inlineStr">
        <is>
          <t>K9119281</t>
        </is>
      </c>
      <c r="C49" s="2" t="n"/>
      <c r="D49" s="2" t="inlineStr">
        <is>
          <t>10004632</t>
        </is>
      </c>
      <c r="E49" s="2" t="inlineStr">
        <is>
          <t>HAX_6G용 W/G WR137 UDR70/PDR70</t>
        </is>
      </c>
      <c r="F49" s="2" t="inlineStr">
        <is>
          <t>K9119281</t>
        </is>
      </c>
      <c r="G49" s="2" t="inlineStr">
        <is>
          <t>8Ghz용 W/G, ODU와 ANT연결용, 900mm</t>
        </is>
      </c>
      <c r="H49" s="2" t="inlineStr">
        <is>
          <t>EA</t>
        </is>
      </c>
      <c r="I49" s="2" t="inlineStr">
        <is>
          <t>Aviat</t>
        </is>
      </c>
      <c r="J49" s="2" t="inlineStr">
        <is>
          <t>미국</t>
        </is>
      </c>
      <c r="K49" s="3" t="n">
        <v>299080</v>
      </c>
      <c r="L49" s="3" t="n">
        <v>290000</v>
      </c>
      <c r="M49" s="4">
        <f>K49-L49</f>
        <v/>
      </c>
      <c r="N49" s="5">
        <f>IF(K49=0,0,M49/K49)</f>
        <v/>
      </c>
      <c r="O49" s="3" t="n">
        <v>0</v>
      </c>
      <c r="P49" s="4">
        <f>O49*K49</f>
        <v/>
      </c>
      <c r="Q49" s="2" t="inlineStr">
        <is>
          <t>계약기간 만료에 따른 신규계약</t>
        </is>
      </c>
      <c r="R49" s="2" t="inlineStr">
        <is>
          <t>ㅇ 바코드 유무 : Y
ㅇ 구매속성 : IP구매
ㅇ 자재상태 : 0
ㅇ 검사속성 : 검사제외</t>
        </is>
      </c>
    </row>
    <row r="50">
      <c r="A50" s="2" t="n">
        <v>49</v>
      </c>
      <c r="B50" s="2" t="inlineStr">
        <is>
          <t>K9175468</t>
        </is>
      </c>
      <c r="C50" s="2" t="n"/>
      <c r="D50" s="2" t="inlineStr">
        <is>
          <t>10004637</t>
        </is>
      </c>
      <c r="E50" s="2" t="inlineStr">
        <is>
          <t>HAX_IDU-INUe-RAC60</t>
        </is>
      </c>
      <c r="F50" s="2" t="inlineStr">
        <is>
          <t>K9175468</t>
        </is>
      </c>
      <c r="G50" s="2" t="inlineStr">
        <is>
          <t>ODU 연결용 유니트, 이중화 구성 / 셀프당 기본물량 2개</t>
        </is>
      </c>
      <c r="H50" s="2" t="inlineStr">
        <is>
          <t>EA</t>
        </is>
      </c>
      <c r="I50" s="2" t="inlineStr">
        <is>
          <t>Aviat</t>
        </is>
      </c>
      <c r="J50" s="2" t="inlineStr">
        <is>
          <t>미국</t>
        </is>
      </c>
      <c r="K50" s="3" t="n">
        <v>1250000</v>
      </c>
      <c r="L50" s="3" t="n">
        <v>1200000</v>
      </c>
      <c r="M50" s="4">
        <f>K50-L50</f>
        <v/>
      </c>
      <c r="N50" s="5">
        <f>IF(K50=0,0,M50/K50)</f>
        <v/>
      </c>
      <c r="O50" s="3" t="n">
        <v>0</v>
      </c>
      <c r="P50" s="4">
        <f>O50*K50</f>
        <v/>
      </c>
      <c r="Q50" s="2" t="inlineStr">
        <is>
          <t>계약기간 만료에 따른 신규계약</t>
        </is>
      </c>
      <c r="R50" s="2" t="inlineStr">
        <is>
          <t>ㅇ 바코드 유무 : Y
ㅇ 구매속성 : IP구매
ㅇ 자재상태 : 0
ㅇ 검사속성 : 검사제외</t>
        </is>
      </c>
    </row>
    <row r="51">
      <c r="A51" s="2" t="n">
        <v>50</v>
      </c>
      <c r="B51" s="2" t="inlineStr">
        <is>
          <t>K9175469</t>
        </is>
      </c>
      <c r="C51" s="2" t="n"/>
      <c r="D51" s="2" t="inlineStr">
        <is>
          <t>10004638</t>
        </is>
      </c>
      <c r="E51" s="2" t="inlineStr">
        <is>
          <t>HAX_IDU-INUe-DAC GE3</t>
        </is>
      </c>
      <c r="F51" s="2" t="inlineStr">
        <is>
          <t>K9175469</t>
        </is>
      </c>
      <c r="G51" s="2" t="inlineStr">
        <is>
          <t xml:space="preserve"> 3 x 10/100/1000 baseT(RJ-45), 2 x Optical 1000 BASE-LX(LC)</t>
        </is>
      </c>
      <c r="H51" s="2" t="inlineStr">
        <is>
          <t>EA</t>
        </is>
      </c>
      <c r="I51" s="2" t="inlineStr">
        <is>
          <t>Aviat</t>
        </is>
      </c>
      <c r="J51" s="2" t="inlineStr">
        <is>
          <t>미국</t>
        </is>
      </c>
      <c r="K51" s="3" t="n">
        <v>1900000</v>
      </c>
      <c r="L51" s="3" t="n">
        <v>1840000</v>
      </c>
      <c r="M51" s="4">
        <f>K51-L51</f>
        <v/>
      </c>
      <c r="N51" s="5">
        <f>IF(K51=0,0,M51/K51)</f>
        <v/>
      </c>
      <c r="O51" s="3" t="n">
        <v>0</v>
      </c>
      <c r="P51" s="4">
        <f>O51*K51</f>
        <v/>
      </c>
      <c r="Q51" s="2" t="inlineStr">
        <is>
          <t>계약기간 만료에 따른 신규계약</t>
        </is>
      </c>
      <c r="R51" s="2" t="inlineStr">
        <is>
          <t>ㅇ 바코드 유무 : Y
ㅇ 구매속성 : IP구매
ㅇ 자재상태 : 0
ㅇ 검사속성 : 검사제외</t>
        </is>
      </c>
    </row>
    <row r="52">
      <c r="A52" s="2" t="n">
        <v>51</v>
      </c>
      <c r="B52" s="2" t="inlineStr">
        <is>
          <t>K9175470</t>
        </is>
      </c>
      <c r="C52" s="2" t="n"/>
      <c r="D52" s="2" t="inlineStr">
        <is>
          <t>10004635</t>
        </is>
      </c>
      <c r="E52" s="2" t="inlineStr">
        <is>
          <t>HAX_8GHz, ODU600hp, Low band</t>
        </is>
      </c>
      <c r="F52" s="2" t="inlineStr">
        <is>
          <t>K9175470</t>
        </is>
      </c>
      <c r="G52" s="2" t="inlineStr">
        <is>
          <t>8GHz 옥외 설치용 무선 송수신부(Low Band)</t>
        </is>
      </c>
      <c r="H52" s="2" t="inlineStr">
        <is>
          <t>EA</t>
        </is>
      </c>
      <c r="I52" s="2" t="inlineStr">
        <is>
          <t>Aviat</t>
        </is>
      </c>
      <c r="J52" s="2" t="inlineStr">
        <is>
          <t>미국</t>
        </is>
      </c>
      <c r="K52" s="3" t="n">
        <v>3528000</v>
      </c>
      <c r="L52" s="3" t="n">
        <v>3420000</v>
      </c>
      <c r="M52" s="4">
        <f>K52-L52</f>
        <v/>
      </c>
      <c r="N52" s="5">
        <f>IF(K52=0,0,M52/K52)</f>
        <v/>
      </c>
      <c r="O52" s="3" t="n">
        <v>0</v>
      </c>
      <c r="P52" s="4">
        <f>O52*K52</f>
        <v/>
      </c>
      <c r="Q52" s="2" t="inlineStr">
        <is>
          <t>계약기간 만료에 따른 신규계약</t>
        </is>
      </c>
      <c r="R52" s="2" t="inlineStr">
        <is>
          <t>ㅇ 바코드 유무 : Y
ㅇ 구매속성 : IP구매
ㅇ 자재상태 : 0
ㅇ 검사속성 : 검사제외</t>
        </is>
      </c>
    </row>
    <row r="53">
      <c r="A53" s="2" t="n">
        <v>52</v>
      </c>
      <c r="B53" s="2" t="inlineStr">
        <is>
          <t>K9175471</t>
        </is>
      </c>
      <c r="C53" s="2" t="n"/>
      <c r="D53" s="2" t="inlineStr">
        <is>
          <t>10004636</t>
        </is>
      </c>
      <c r="E53" s="2" t="inlineStr">
        <is>
          <t>HAX_8GHz, ODU600hp, High band</t>
        </is>
      </c>
      <c r="F53" s="2" t="inlineStr">
        <is>
          <t>K9175471</t>
        </is>
      </c>
      <c r="G53" s="2" t="inlineStr">
        <is>
          <t>8GHz 옥외 설치용 무선 송수신부(High Band)</t>
        </is>
      </c>
      <c r="H53" s="2" t="inlineStr">
        <is>
          <t>EA</t>
        </is>
      </c>
      <c r="I53" s="2" t="inlineStr">
        <is>
          <t>Aviat</t>
        </is>
      </c>
      <c r="J53" s="2" t="inlineStr">
        <is>
          <t>미국</t>
        </is>
      </c>
      <c r="K53" s="3" t="n">
        <v>3528000</v>
      </c>
      <c r="L53" s="3" t="n">
        <v>3420000</v>
      </c>
      <c r="M53" s="4">
        <f>K53-L53</f>
        <v/>
      </c>
      <c r="N53" s="5">
        <f>IF(K53=0,0,M53/K53)</f>
        <v/>
      </c>
      <c r="O53" s="3" t="n">
        <v>0</v>
      </c>
      <c r="P53" s="4">
        <f>O53*K53</f>
        <v/>
      </c>
      <c r="Q53" s="2" t="inlineStr">
        <is>
          <t>계약기간 만료에 따른 신규계약</t>
        </is>
      </c>
      <c r="R53" s="2" t="inlineStr">
        <is>
          <t>ㅇ 바코드 유무 : Y
ㅇ 구매속성 : IP구매
ㅇ 자재상태 : 0
ㅇ 검사속성 : 검사제외</t>
        </is>
      </c>
    </row>
    <row r="54">
      <c r="A54" s="2" t="n">
        <v>53</v>
      </c>
      <c r="B54" s="2" t="inlineStr">
        <is>
          <t>K9178534</t>
        </is>
      </c>
      <c r="C54" s="2" t="n"/>
      <c r="D54" s="2" t="inlineStr">
        <is>
          <t>10015915</t>
        </is>
      </c>
      <c r="E54" s="2" t="inlineStr">
        <is>
          <t>FLEXIBLE WAVEGUIDE, 7.125 - 8.500 GHZ, 1200MM, PDR84 FLANGES</t>
        </is>
      </c>
      <c r="F54" s="2" t="inlineStr">
        <is>
          <t>K9178534</t>
        </is>
      </c>
      <c r="G54" s="2" t="inlineStr">
        <is>
          <t>8Ghz용 W/G, ODU와 ANT연결용, 1200mm</t>
        </is>
      </c>
      <c r="H54" s="2" t="inlineStr">
        <is>
          <t>EA</t>
        </is>
      </c>
      <c r="I54" s="2" t="inlineStr">
        <is>
          <t>Aviat</t>
        </is>
      </c>
      <c r="J54" s="2" t="inlineStr">
        <is>
          <t>미국</t>
        </is>
      </c>
      <c r="K54" s="3" t="n">
        <v>750000</v>
      </c>
      <c r="L54" s="3" t="n">
        <v>735000</v>
      </c>
      <c r="M54" s="4">
        <f>K54-L54</f>
        <v/>
      </c>
      <c r="N54" s="5">
        <f>IF(K54=0,0,M54/K54)</f>
        <v/>
      </c>
      <c r="O54" s="6" t="n">
        <v>24</v>
      </c>
      <c r="P54" s="4">
        <f>O54*K54</f>
        <v/>
      </c>
      <c r="Q54" s="2" t="inlineStr">
        <is>
          <t>계약기간 만료에 따른 신규계약</t>
        </is>
      </c>
      <c r="R54" s="2" t="inlineStr">
        <is>
          <t>ㅇ 바코드 유무 : Y
ㅇ 구매속성 : IP구매
ㅇ 자재상태 : 0
ㅇ 검사속성 : 검사제외</t>
        </is>
      </c>
    </row>
    <row r="55">
      <c r="A55" s="2" t="n">
        <v>54</v>
      </c>
      <c r="B55" s="2" t="inlineStr">
        <is>
          <t>K9183414</t>
        </is>
      </c>
      <c r="C55" s="2" t="n"/>
      <c r="D55" s="2" t="inlineStr">
        <is>
          <t>10210374</t>
        </is>
      </c>
      <c r="E55" s="2" t="inlineStr">
        <is>
          <t>HAX_L6GHz ODU600sp Low band</t>
        </is>
      </c>
      <c r="F55" s="2" t="inlineStr">
        <is>
          <t>K9183414</t>
        </is>
      </c>
      <c r="G55" s="2" t="inlineStr">
        <is>
          <t>L6GHz 옥외 설치용 무선 송수신부(Low Band)</t>
        </is>
      </c>
      <c r="H55" s="2" t="inlineStr">
        <is>
          <t>EA</t>
        </is>
      </c>
      <c r="I55" s="2" t="inlineStr">
        <is>
          <t>Aviat</t>
        </is>
      </c>
      <c r="J55" s="2" t="inlineStr">
        <is>
          <t>미국</t>
        </is>
      </c>
      <c r="K55" s="3" t="n">
        <v>1589550</v>
      </c>
      <c r="L55" s="3" t="n">
        <v>1500000</v>
      </c>
      <c r="M55" s="4">
        <f>K55-L55</f>
        <v/>
      </c>
      <c r="N55" s="5">
        <f>IF(K55=0,0,M55/K55)</f>
        <v/>
      </c>
      <c r="O55" s="3" t="n">
        <v>0</v>
      </c>
      <c r="P55" s="4">
        <f>O55*K55</f>
        <v/>
      </c>
      <c r="Q55" s="2" t="inlineStr">
        <is>
          <t>계약기간 만료에 따른 신규계약</t>
        </is>
      </c>
      <c r="R55" s="2" t="inlineStr">
        <is>
          <t>ㅇ 바코드 유무 : Y
ㅇ 구매속성 : IP구매
ㅇ 자재상태 : 0
ㅇ 검사속성 : 검사제외</t>
        </is>
      </c>
    </row>
    <row r="56">
      <c r="A56" s="2" t="n">
        <v>55</v>
      </c>
      <c r="B56" s="2" t="inlineStr">
        <is>
          <t>K9183415</t>
        </is>
      </c>
      <c r="C56" s="2" t="n"/>
      <c r="D56" s="2" t="inlineStr">
        <is>
          <t>10210396</t>
        </is>
      </c>
      <c r="E56" s="2" t="inlineStr">
        <is>
          <t>HAX_L6GHz ODU600sp High band</t>
        </is>
      </c>
      <c r="F56" s="2" t="inlineStr">
        <is>
          <t>K9183415</t>
        </is>
      </c>
      <c r="G56" s="2" t="inlineStr">
        <is>
          <t>L6GHz 옥외 설치용 무선 송수신부(High Band)</t>
        </is>
      </c>
      <c r="H56" s="2" t="inlineStr">
        <is>
          <t>EA</t>
        </is>
      </c>
      <c r="I56" s="2" t="inlineStr">
        <is>
          <t>Aviat</t>
        </is>
      </c>
      <c r="J56" s="2" t="inlineStr">
        <is>
          <t>미국</t>
        </is>
      </c>
      <c r="K56" s="3" t="n">
        <v>1589550</v>
      </c>
      <c r="L56" s="3" t="n">
        <v>1500000</v>
      </c>
      <c r="M56" s="4">
        <f>K56-L56</f>
        <v/>
      </c>
      <c r="N56" s="5">
        <f>IF(K56=0,0,M56/K56)</f>
        <v/>
      </c>
      <c r="O56" s="3" t="n">
        <v>0</v>
      </c>
      <c r="P56" s="4">
        <f>O56*K56</f>
        <v/>
      </c>
      <c r="Q56" s="2" t="inlineStr">
        <is>
          <t>계약기간 만료에 따른 신규계약</t>
        </is>
      </c>
      <c r="R56" s="2" t="inlineStr">
        <is>
          <t>ㅇ 바코드 유무 : Y
ㅇ 구매속성 : IP구매
ㅇ 자재상태 : 0
ㅇ 검사속성 : 검사제외</t>
        </is>
      </c>
    </row>
    <row r="57">
      <c r="A57" s="2" t="n">
        <v>56</v>
      </c>
      <c r="B57" s="2" t="inlineStr">
        <is>
          <t>K9183416</t>
        </is>
      </c>
      <c r="C57" s="2" t="n"/>
      <c r="D57" s="2" t="inlineStr">
        <is>
          <t>10210402</t>
        </is>
      </c>
      <c r="E57" s="2" t="inlineStr">
        <is>
          <t>HAX_U6GHz ODU600sp Low band</t>
        </is>
      </c>
      <c r="F57" s="2" t="inlineStr">
        <is>
          <t>K9183416</t>
        </is>
      </c>
      <c r="G57" s="2" t="inlineStr">
        <is>
          <t>U6GHz 옥외 설치용 무선 송수신부(Low Band)</t>
        </is>
      </c>
      <c r="H57" s="2" t="inlineStr">
        <is>
          <t>EA</t>
        </is>
      </c>
      <c r="I57" s="2" t="inlineStr">
        <is>
          <t>Aviat</t>
        </is>
      </c>
      <c r="J57" s="2" t="inlineStr">
        <is>
          <t>미국</t>
        </is>
      </c>
      <c r="K57" s="3" t="n">
        <v>1589550</v>
      </c>
      <c r="L57" s="3" t="n">
        <v>1500000</v>
      </c>
      <c r="M57" s="4">
        <f>K57-L57</f>
        <v/>
      </c>
      <c r="N57" s="5">
        <f>IF(K57=0,0,M57/K57)</f>
        <v/>
      </c>
      <c r="O57" s="3" t="n">
        <v>0</v>
      </c>
      <c r="P57" s="4">
        <f>O57*K57</f>
        <v/>
      </c>
      <c r="Q57" s="2" t="inlineStr">
        <is>
          <t>계약기간 만료에 따른 신규계약</t>
        </is>
      </c>
      <c r="R57" s="2" t="inlineStr">
        <is>
          <t>ㅇ 바코드 유무 : Y
ㅇ 구매속성 : IP구매
ㅇ 자재상태 : 0
ㅇ 검사속성 : 검사제외</t>
        </is>
      </c>
    </row>
    <row r="58">
      <c r="A58" s="2" t="n">
        <v>57</v>
      </c>
      <c r="B58" s="2" t="inlineStr">
        <is>
          <t>K9183417</t>
        </is>
      </c>
      <c r="C58" s="2" t="n"/>
      <c r="D58" s="2" t="inlineStr">
        <is>
          <t>10210404</t>
        </is>
      </c>
      <c r="E58" s="2" t="inlineStr">
        <is>
          <t>HAX_U6GHz ODU600sp High band</t>
        </is>
      </c>
      <c r="F58" s="2" t="inlineStr">
        <is>
          <t>K9183417</t>
        </is>
      </c>
      <c r="G58" s="2" t="inlineStr">
        <is>
          <t>U6GHz 옥외 설치용 무선 송수신부(High Band)</t>
        </is>
      </c>
      <c r="H58" s="2" t="inlineStr">
        <is>
          <t>EA</t>
        </is>
      </c>
      <c r="I58" s="2" t="inlineStr">
        <is>
          <t>Aviat</t>
        </is>
      </c>
      <c r="J58" s="2" t="inlineStr">
        <is>
          <t>미국</t>
        </is>
      </c>
      <c r="K58" s="3" t="n">
        <v>1589550</v>
      </c>
      <c r="L58" s="3" t="n">
        <v>1500000</v>
      </c>
      <c r="M58" s="4">
        <f>K58-L58</f>
        <v/>
      </c>
      <c r="N58" s="5">
        <f>IF(K58=0,0,M58/K58)</f>
        <v/>
      </c>
      <c r="O58" s="3" t="n">
        <v>0</v>
      </c>
      <c r="P58" s="4">
        <f>O58*K58</f>
        <v/>
      </c>
      <c r="Q58" s="2" t="inlineStr">
        <is>
          <t>계약기간 만료에 따른 신규계약</t>
        </is>
      </c>
      <c r="R58" s="2" t="inlineStr">
        <is>
          <t>ㅇ 바코드 유무 : Y
ㅇ 구매속성 : IP구매
ㅇ 자재상태 : 0
ㅇ 검사속성 : 검사제외</t>
        </is>
      </c>
    </row>
    <row r="59">
      <c r="A59" s="2" t="n">
        <v>58</v>
      </c>
      <c r="B59" s="2" t="inlineStr">
        <is>
          <t>K9183418</t>
        </is>
      </c>
      <c r="C59" s="2" t="n"/>
      <c r="D59" s="2" t="inlineStr">
        <is>
          <t>10210406</t>
        </is>
      </c>
      <c r="E59" s="2" t="inlineStr">
        <is>
          <t>HAX_8GHz ODU600sp Low band</t>
        </is>
      </c>
      <c r="F59" s="2" t="inlineStr">
        <is>
          <t>K9183418</t>
        </is>
      </c>
      <c r="G59" s="2" t="inlineStr">
        <is>
          <t>8GHz 옥외 설치용 무선 송수신부(Low Band)</t>
        </is>
      </c>
      <c r="H59" s="2" t="inlineStr">
        <is>
          <t>EA</t>
        </is>
      </c>
      <c r="I59" s="2" t="inlineStr">
        <is>
          <t>Aviat</t>
        </is>
      </c>
      <c r="J59" s="2" t="inlineStr">
        <is>
          <t>미국</t>
        </is>
      </c>
      <c r="K59" s="3" t="n">
        <v>1589550</v>
      </c>
      <c r="L59" s="3" t="n">
        <v>1500000</v>
      </c>
      <c r="M59" s="4">
        <f>K59-L59</f>
        <v/>
      </c>
      <c r="N59" s="5">
        <f>IF(K59=0,0,M59/K59)</f>
        <v/>
      </c>
      <c r="O59" s="3" t="n">
        <v>0</v>
      </c>
      <c r="P59" s="4">
        <f>O59*K59</f>
        <v/>
      </c>
      <c r="Q59" s="2" t="inlineStr">
        <is>
          <t>계약기간 만료에 따른 신규계약</t>
        </is>
      </c>
      <c r="R59" s="2" t="inlineStr">
        <is>
          <t>ㅇ 바코드 유무 : Y
ㅇ 구매속성 : IP구매
ㅇ 자재상태 : 0
ㅇ 검사속성 : 검사제외</t>
        </is>
      </c>
    </row>
    <row r="60">
      <c r="A60" s="2" t="n">
        <v>59</v>
      </c>
      <c r="B60" s="2" t="inlineStr">
        <is>
          <t>K9183419</t>
        </is>
      </c>
      <c r="C60" s="2" t="n"/>
      <c r="D60" s="2" t="inlineStr">
        <is>
          <t>10210408</t>
        </is>
      </c>
      <c r="E60" s="2" t="inlineStr">
        <is>
          <t>HAX_8GHz ODU600sp High band</t>
        </is>
      </c>
      <c r="F60" s="2" t="inlineStr">
        <is>
          <t>K9183419</t>
        </is>
      </c>
      <c r="G60" s="2" t="inlineStr">
        <is>
          <t>8GHz 옥외 설치용 무선 송수신부(High Band)</t>
        </is>
      </c>
      <c r="H60" s="2" t="inlineStr">
        <is>
          <t>EA</t>
        </is>
      </c>
      <c r="I60" s="2" t="inlineStr">
        <is>
          <t>Aviat</t>
        </is>
      </c>
      <c r="J60" s="2" t="inlineStr">
        <is>
          <t>미국</t>
        </is>
      </c>
      <c r="K60" s="3" t="n">
        <v>1589550</v>
      </c>
      <c r="L60" s="3" t="n">
        <v>1500000</v>
      </c>
      <c r="M60" s="4">
        <f>K60-L60</f>
        <v/>
      </c>
      <c r="N60" s="5">
        <f>IF(K60=0,0,M60/K60)</f>
        <v/>
      </c>
      <c r="O60" s="3" t="n">
        <v>0</v>
      </c>
      <c r="P60" s="4">
        <f>O60*K60</f>
        <v/>
      </c>
      <c r="Q60" s="2" t="inlineStr">
        <is>
          <t>계약기간 만료에 따른 신규계약</t>
        </is>
      </c>
      <c r="R60" s="2" t="inlineStr">
        <is>
          <t>ㅇ 바코드 유무 : Y
ㅇ 구매속성 : IP구매
ㅇ 자재상태 : 0
ㅇ 검사속성 : 검사제외</t>
        </is>
      </c>
    </row>
    <row r="61">
      <c r="A61" s="2" t="n">
        <v>60</v>
      </c>
      <c r="B61" s="2" t="inlineStr">
        <is>
          <t>K9183420</t>
        </is>
      </c>
      <c r="C61" s="2" t="n"/>
      <c r="D61" s="2" t="inlineStr">
        <is>
          <t>10210410</t>
        </is>
      </c>
      <c r="E61" s="2" t="inlineStr">
        <is>
          <t>HAX_11GHz ODU600sp Low band</t>
        </is>
      </c>
      <c r="F61" s="2" t="inlineStr">
        <is>
          <t>K9183420</t>
        </is>
      </c>
      <c r="G61" s="2" t="inlineStr">
        <is>
          <t>11G 옥외 설치용 무선 송수신부 (Low Band)</t>
        </is>
      </c>
      <c r="H61" s="2" t="inlineStr">
        <is>
          <t>EA</t>
        </is>
      </c>
      <c r="I61" s="2" t="inlineStr">
        <is>
          <t>Aviat</t>
        </is>
      </c>
      <c r="J61" s="2" t="inlineStr">
        <is>
          <t>미국</t>
        </is>
      </c>
      <c r="K61" s="3" t="n">
        <v>1589550</v>
      </c>
      <c r="L61" s="3" t="n">
        <v>1500000</v>
      </c>
      <c r="M61" s="4">
        <f>K61-L61</f>
        <v/>
      </c>
      <c r="N61" s="5">
        <f>IF(K61=0,0,M61/K61)</f>
        <v/>
      </c>
      <c r="O61" s="3" t="n">
        <v>0</v>
      </c>
      <c r="P61" s="4">
        <f>O61*K61</f>
        <v/>
      </c>
      <c r="Q61" s="2" t="inlineStr">
        <is>
          <t>계약기간 만료에 따른 신규계약</t>
        </is>
      </c>
      <c r="R61" s="2" t="inlineStr">
        <is>
          <t>ㅇ 바코드 유무 : Y
ㅇ 구매속성 : IP구매
ㅇ 자재상태 : 0
ㅇ 검사속성 : 검사제외</t>
        </is>
      </c>
    </row>
    <row r="62">
      <c r="A62" s="2" t="n">
        <v>61</v>
      </c>
      <c r="B62" s="2" t="inlineStr">
        <is>
          <t>K9183421</t>
        </is>
      </c>
      <c r="C62" s="2" t="n"/>
      <c r="D62" s="2" t="inlineStr">
        <is>
          <t>10210412</t>
        </is>
      </c>
      <c r="E62" s="2" t="inlineStr">
        <is>
          <t>HAX_11GHz ODU600sp High band</t>
        </is>
      </c>
      <c r="F62" s="2" t="inlineStr">
        <is>
          <t>K9183421</t>
        </is>
      </c>
      <c r="G62" s="2" t="inlineStr">
        <is>
          <t>11G 옥외 설치용 무선 송수신부 (High Band)</t>
        </is>
      </c>
      <c r="H62" s="2" t="inlineStr">
        <is>
          <t>EA</t>
        </is>
      </c>
      <c r="I62" s="2" t="inlineStr">
        <is>
          <t>Aviat</t>
        </is>
      </c>
      <c r="J62" s="2" t="inlineStr">
        <is>
          <t>미국</t>
        </is>
      </c>
      <c r="K62" s="3" t="n">
        <v>1589550</v>
      </c>
      <c r="L62" s="3" t="n">
        <v>1500000</v>
      </c>
      <c r="M62" s="4">
        <f>K62-L62</f>
        <v/>
      </c>
      <c r="N62" s="5">
        <f>IF(K62=0,0,M62/K62)</f>
        <v/>
      </c>
      <c r="O62" s="3" t="n">
        <v>0</v>
      </c>
      <c r="P62" s="4">
        <f>O62*K62</f>
        <v/>
      </c>
      <c r="Q62" s="2" t="inlineStr">
        <is>
          <t>계약기간 만료에 따른 신규계약</t>
        </is>
      </c>
      <c r="R62" s="2" t="inlineStr">
        <is>
          <t>ㅇ 바코드 유무 : Y
ㅇ 구매속성 : IP구매
ㅇ 자재상태 : 0
ㅇ 검사속성 : 검사제외</t>
        </is>
      </c>
    </row>
    <row r="63">
      <c r="A63" s="2" t="n">
        <v>62</v>
      </c>
      <c r="B63" s="2" t="inlineStr">
        <is>
          <t>K9183442</t>
        </is>
      </c>
      <c r="C63" s="2" t="n"/>
      <c r="D63" s="2" t="inlineStr">
        <is>
          <t>10005765</t>
        </is>
      </c>
      <c r="E63" s="2" t="inlineStr">
        <is>
          <t>HAX_IDU-INUe-RAC6XE</t>
        </is>
      </c>
      <c r="F63" s="2" t="inlineStr">
        <is>
          <t>K9183442</t>
        </is>
      </c>
      <c r="G63" s="2" t="inlineStr">
        <is>
          <t>RAC60 기능에 추가적으로 Co-channel 기능 지원</t>
        </is>
      </c>
      <c r="H63" s="2" t="inlineStr">
        <is>
          <t>EA</t>
        </is>
      </c>
      <c r="I63" s="2" t="inlineStr">
        <is>
          <t>Aviat</t>
        </is>
      </c>
      <c r="J63" s="2" t="inlineStr">
        <is>
          <t>미국</t>
        </is>
      </c>
      <c r="K63" s="3" t="n">
        <v>1800000</v>
      </c>
      <c r="L63" s="3" t="n">
        <v>1745000</v>
      </c>
      <c r="M63" s="4">
        <f>K63-L63</f>
        <v/>
      </c>
      <c r="N63" s="5">
        <f>IF(K63=0,0,M63/K63)</f>
        <v/>
      </c>
      <c r="O63" s="3" t="n">
        <v>0</v>
      </c>
      <c r="P63" s="4">
        <f>O63*K63</f>
        <v/>
      </c>
      <c r="Q63" s="2" t="inlineStr">
        <is>
          <t>계약기간 만료에 따른 신규계약</t>
        </is>
      </c>
      <c r="R63" s="2" t="inlineStr">
        <is>
          <t>ㅇ 바코드 유무 : Y
ㅇ 구매속성 : IP구매
ㅇ 자재상태 : 0
ㅇ 검사속성 : 검사제외</t>
        </is>
      </c>
    </row>
    <row r="64">
      <c r="A64" s="2" t="n">
        <v>63</v>
      </c>
      <c r="B64" s="2" t="inlineStr">
        <is>
          <t>K9183443</t>
        </is>
      </c>
      <c r="C64" s="2" t="n"/>
      <c r="D64" s="2" t="inlineStr">
        <is>
          <t>10210414</t>
        </is>
      </c>
      <c r="E64" s="2" t="inlineStr">
        <is>
          <t>HAX_IDU GE3 16X 16E1+GbE</t>
        </is>
      </c>
      <c r="F64" s="2" t="inlineStr">
        <is>
          <t>K9183443</t>
        </is>
      </c>
      <c r="G64" s="2" t="inlineStr">
        <is>
          <t>16E1+GbE</t>
        </is>
      </c>
      <c r="H64" s="2" t="inlineStr">
        <is>
          <t>EA</t>
        </is>
      </c>
      <c r="I64" s="2" t="inlineStr">
        <is>
          <t>Aviat</t>
        </is>
      </c>
      <c r="J64" s="2" t="inlineStr">
        <is>
          <t>미국</t>
        </is>
      </c>
      <c r="K64" s="3" t="n">
        <v>1000000</v>
      </c>
      <c r="L64" s="3" t="n">
        <v>970000</v>
      </c>
      <c r="M64" s="4">
        <f>K64-L64</f>
        <v/>
      </c>
      <c r="N64" s="5">
        <f>IF(K64=0,0,M64/K64)</f>
        <v/>
      </c>
      <c r="O64" s="3" t="n">
        <v>0</v>
      </c>
      <c r="P64" s="4">
        <f>O64*K64</f>
        <v/>
      </c>
      <c r="Q64" s="2" t="inlineStr">
        <is>
          <t>계약기간 만료에 따른 신규계약</t>
        </is>
      </c>
      <c r="R64" s="2" t="inlineStr">
        <is>
          <t>ㅇ 바코드 유무 : Y
ㅇ 구매속성 : IP구매
ㅇ 자재상태 : 0
ㅇ 검사속성 : 검사제외</t>
        </is>
      </c>
    </row>
    <row r="65">
      <c r="A65" s="2" t="n">
        <v>64</v>
      </c>
      <c r="B65" s="2" t="inlineStr">
        <is>
          <t>K9183444</t>
        </is>
      </c>
      <c r="C65" s="2" t="n"/>
      <c r="D65" s="2" t="inlineStr">
        <is>
          <t>10111384</t>
        </is>
      </c>
      <c r="E65" s="2" t="inlineStr">
        <is>
          <t>HAX_SFP to SFP Cable Assembley</t>
        </is>
      </c>
      <c r="F65" s="2" t="inlineStr">
        <is>
          <t>K9183444</t>
        </is>
      </c>
      <c r="G65" s="2" t="inlineStr">
        <is>
          <t>GbE 보호용 광 패치케이블</t>
        </is>
      </c>
      <c r="H65" s="2" t="inlineStr">
        <is>
          <t>EA</t>
        </is>
      </c>
      <c r="I65" s="2" t="inlineStr">
        <is>
          <t>Aviat</t>
        </is>
      </c>
      <c r="J65" s="2" t="inlineStr">
        <is>
          <t>미국</t>
        </is>
      </c>
      <c r="K65" s="3" t="n">
        <v>79730</v>
      </c>
      <c r="L65" s="3" t="n">
        <v>75000</v>
      </c>
      <c r="M65" s="4">
        <f>K65-L65</f>
        <v/>
      </c>
      <c r="N65" s="5">
        <f>IF(K65=0,0,M65/K65)</f>
        <v/>
      </c>
      <c r="O65" s="3" t="n">
        <v>0</v>
      </c>
      <c r="P65" s="4">
        <f>O65*K65</f>
        <v/>
      </c>
      <c r="Q65" s="2" t="inlineStr">
        <is>
          <t>계약기간 만료에 따른 신규계약</t>
        </is>
      </c>
      <c r="R65" s="2" t="inlineStr">
        <is>
          <t>ㅇ 바코드 유무 : Y
ㅇ 구매속성 : IP구매
ㅇ 자재상태 : 0
ㅇ 검사속성 : 검사제외</t>
        </is>
      </c>
    </row>
    <row r="66">
      <c r="A66" s="2" t="n">
        <v>65</v>
      </c>
      <c r="B66" s="2" t="inlineStr">
        <is>
          <t>K9183445</t>
        </is>
      </c>
      <c r="C66" s="2" t="n"/>
      <c r="D66" s="2" t="inlineStr">
        <is>
          <t>10210376</t>
        </is>
      </c>
      <c r="E66" s="2" t="inlineStr">
        <is>
          <t>HAX_Optical Y-Cable Assembly(LC-LC to LC)</t>
        </is>
      </c>
      <c r="F66" s="2" t="inlineStr">
        <is>
          <t>K9183445</t>
        </is>
      </c>
      <c r="G66" s="2" t="inlineStr">
        <is>
          <t>GbE 보호용 광 Y-케이블</t>
        </is>
      </c>
      <c r="H66" s="2" t="inlineStr">
        <is>
          <t>EA</t>
        </is>
      </c>
      <c r="I66" s="2" t="inlineStr">
        <is>
          <t>Aviat</t>
        </is>
      </c>
      <c r="J66" s="2" t="inlineStr">
        <is>
          <t>미국</t>
        </is>
      </c>
      <c r="K66" s="3" t="n">
        <v>79730</v>
      </c>
      <c r="L66" s="3" t="n">
        <v>75000</v>
      </c>
      <c r="M66" s="4">
        <f>K66-L66</f>
        <v/>
      </c>
      <c r="N66" s="5">
        <f>IF(K66=0,0,M66/K66)</f>
        <v/>
      </c>
      <c r="O66" s="3" t="n">
        <v>0</v>
      </c>
      <c r="P66" s="4">
        <f>O66*K66</f>
        <v/>
      </c>
      <c r="Q66" s="2" t="inlineStr">
        <is>
          <t>계약기간 만료에 따른 신규계약</t>
        </is>
      </c>
      <c r="R66" s="2" t="inlineStr">
        <is>
          <t>ㅇ 바코드 유무 : Y
ㅇ 구매속성 : IP구매
ㅇ 자재상태 : 0
ㅇ 검사속성 : 검사제외</t>
        </is>
      </c>
    </row>
    <row r="67">
      <c r="A67" s="2" t="n">
        <v>66</v>
      </c>
      <c r="B67" s="2" t="inlineStr">
        <is>
          <t>K9183446</t>
        </is>
      </c>
      <c r="C67" s="2" t="n"/>
      <c r="D67" s="2" t="inlineStr">
        <is>
          <t>10210378</t>
        </is>
      </c>
      <c r="E67" s="2" t="inlineStr">
        <is>
          <t>HAX_IDU GE3 16X용 Full Node License</t>
        </is>
      </c>
      <c r="F67" s="2" t="inlineStr">
        <is>
          <t>K9183446</t>
        </is>
      </c>
      <c r="G67" s="2" t="inlineStr">
        <is>
          <t>Capacity : 400Mbps, High Power, ACM</t>
        </is>
      </c>
      <c r="H67" s="2" t="inlineStr">
        <is>
          <t>EA</t>
        </is>
      </c>
      <c r="I67" s="2" t="inlineStr">
        <is>
          <t>Aviat</t>
        </is>
      </c>
      <c r="J67" s="2" t="inlineStr">
        <is>
          <t>미국</t>
        </is>
      </c>
      <c r="K67" s="3" t="n">
        <v>250000</v>
      </c>
      <c r="L67" s="3" t="n">
        <v>240000</v>
      </c>
      <c r="M67" s="4">
        <f>K67-L67</f>
        <v/>
      </c>
      <c r="N67" s="5">
        <f>IF(K67=0,0,M67/K67)</f>
        <v/>
      </c>
      <c r="O67" s="3" t="n">
        <v>0</v>
      </c>
      <c r="P67" s="4">
        <f>O67*K67</f>
        <v/>
      </c>
      <c r="Q67" s="2" t="inlineStr">
        <is>
          <t>계약기간 만료에 따른 신규계약</t>
        </is>
      </c>
      <c r="R67" s="2" t="inlineStr">
        <is>
          <t>ㅇ 바코드 유무 : Y
ㅇ 구매속성 : IP구매
ㅇ 자재상태 : 0
ㅇ 검사속성 : 검사제외</t>
        </is>
      </c>
    </row>
    <row r="68">
      <c r="A68" s="2" t="n">
        <v>67</v>
      </c>
      <c r="B68" s="2" t="inlineStr">
        <is>
          <t>K9183447</t>
        </is>
      </c>
      <c r="C68" s="2" t="n"/>
      <c r="D68" s="2" t="inlineStr">
        <is>
          <t>10005766</t>
        </is>
      </c>
      <c r="E68" s="2" t="inlineStr">
        <is>
          <t>HAX_IDU-INUe용 Full Node License</t>
        </is>
      </c>
      <c r="F68" s="2" t="inlineStr">
        <is>
          <t>K9183447</t>
        </is>
      </c>
      <c r="G68" s="2" t="inlineStr">
        <is>
          <t>Capacity : 1.2Gbps, L1LA, High Power, ACM</t>
        </is>
      </c>
      <c r="H68" s="2" t="inlineStr">
        <is>
          <t>EA</t>
        </is>
      </c>
      <c r="I68" s="2" t="inlineStr">
        <is>
          <t>Aviat</t>
        </is>
      </c>
      <c r="J68" s="2" t="inlineStr">
        <is>
          <t>미국</t>
        </is>
      </c>
      <c r="K68" s="3" t="n">
        <v>1450000</v>
      </c>
      <c r="L68" s="3" t="n">
        <v>1400000</v>
      </c>
      <c r="M68" s="4">
        <f>K68-L68</f>
        <v/>
      </c>
      <c r="N68" s="5">
        <f>IF(K68=0,0,M68/K68)</f>
        <v/>
      </c>
      <c r="O68" s="3" t="n">
        <v>0</v>
      </c>
      <c r="P68" s="4">
        <f>O68*K68</f>
        <v/>
      </c>
      <c r="Q68" s="2" t="inlineStr">
        <is>
          <t>계약기간 만료에 따른 신규계약</t>
        </is>
      </c>
      <c r="R68" s="2" t="inlineStr">
        <is>
          <t>ㅇ 바코드 유무 : Y
ㅇ 구매속성 : IP구매
ㅇ 자재상태 : 0
ㅇ 검사속성 : 검사제외</t>
        </is>
      </c>
    </row>
    <row r="69">
      <c r="A69" s="2" t="n">
        <v>68</v>
      </c>
      <c r="B69" s="2" t="inlineStr">
        <is>
          <t>K9188144</t>
        </is>
      </c>
      <c r="C69" s="2" t="n"/>
      <c r="D69" s="2" t="inlineStr">
        <is>
          <t>10015916</t>
        </is>
      </c>
      <c r="E69" s="2" t="inlineStr">
        <is>
          <t>CTR 8312 1RU Chassis</t>
        </is>
      </c>
      <c r="F69" s="2" t="inlineStr">
        <is>
          <t>K9188144</t>
        </is>
      </c>
      <c r="G69" s="2" t="inlineStr">
        <is>
          <t>2+0 패킷형 IDU</t>
        </is>
      </c>
      <c r="H69" s="2" t="inlineStr">
        <is>
          <t>EA</t>
        </is>
      </c>
      <c r="I69" s="2" t="inlineStr">
        <is>
          <t>Aviat</t>
        </is>
      </c>
      <c r="J69" s="2" t="inlineStr">
        <is>
          <t>미국</t>
        </is>
      </c>
      <c r="K69" s="3" t="n">
        <v>1500000</v>
      </c>
      <c r="L69" s="3" t="n">
        <v>1470000</v>
      </c>
      <c r="M69" s="4">
        <f>K69-L69</f>
        <v/>
      </c>
      <c r="N69" s="5">
        <f>IF(K69=0,0,M69/K69)</f>
        <v/>
      </c>
      <c r="O69" s="6" t="n">
        <v>3</v>
      </c>
      <c r="P69" s="4">
        <f>O69*K69</f>
        <v/>
      </c>
      <c r="Q69" s="2" t="inlineStr">
        <is>
          <t>계약기간 만료에 따른 신규계약</t>
        </is>
      </c>
      <c r="R69" s="2" t="inlineStr">
        <is>
          <t>ㅇ 바코드 유무 : Y
ㅇ 구매속성 : IP구매
ㅇ 자재상태 : 0
ㅇ 검사속성 : 검사제외</t>
        </is>
      </c>
    </row>
    <row r="70">
      <c r="A70" s="2" t="n">
        <v>69</v>
      </c>
      <c r="B70" s="2" t="inlineStr">
        <is>
          <t>K9188145</t>
        </is>
      </c>
      <c r="C70" s="2" t="n"/>
      <c r="D70" s="2" t="inlineStr">
        <is>
          <t>10015917</t>
        </is>
      </c>
      <c r="E70" s="2" t="inlineStr">
        <is>
          <t>CTR 8540 1RU Chassis</t>
        </is>
      </c>
      <c r="F70" s="2" t="inlineStr">
        <is>
          <t>K9188145</t>
        </is>
      </c>
      <c r="G70" s="2" t="inlineStr">
        <is>
          <t>8+0 패킷형 IDU</t>
        </is>
      </c>
      <c r="H70" s="2" t="inlineStr">
        <is>
          <t>EA</t>
        </is>
      </c>
      <c r="I70" s="2" t="inlineStr">
        <is>
          <t>Aviat</t>
        </is>
      </c>
      <c r="J70" s="2" t="inlineStr">
        <is>
          <t>미국</t>
        </is>
      </c>
      <c r="K70" s="3" t="n">
        <v>3000000</v>
      </c>
      <c r="L70" s="3" t="n">
        <v>2940000</v>
      </c>
      <c r="M70" s="4">
        <f>K70-L70</f>
        <v/>
      </c>
      <c r="N70" s="5">
        <f>IF(K70=0,0,M70/K70)</f>
        <v/>
      </c>
      <c r="O70" s="3" t="n">
        <v>0</v>
      </c>
      <c r="P70" s="4">
        <f>O70*K70</f>
        <v/>
      </c>
      <c r="Q70" s="2" t="inlineStr">
        <is>
          <t>계약기간 만료에 따른 신규계약</t>
        </is>
      </c>
      <c r="R70" s="2" t="inlineStr">
        <is>
          <t>ㅇ 바코드 유무 : Y
ㅇ 구매속성 : IP구매
ㅇ 자재상태 : 0
ㅇ 검사속성 : 검사제외</t>
        </is>
      </c>
    </row>
    <row r="71">
      <c r="A71" s="2" t="n">
        <v>70</v>
      </c>
      <c r="B71" s="2" t="inlineStr">
        <is>
          <t>K9188146</t>
        </is>
      </c>
      <c r="C71" s="2" t="n"/>
      <c r="D71" s="2" t="inlineStr">
        <is>
          <t>10015918</t>
        </is>
      </c>
      <c r="E71" s="2" t="inlineStr">
        <is>
          <t>CTR 8540 RACx2 Dual IF Radio Access Module</t>
        </is>
      </c>
      <c r="F71" s="2" t="inlineStr">
        <is>
          <t>K9188146</t>
        </is>
      </c>
      <c r="G71" s="2" t="inlineStr">
        <is>
          <t>듀얼 모뎀카드</t>
        </is>
      </c>
      <c r="H71" s="2" t="inlineStr">
        <is>
          <t>EA</t>
        </is>
      </c>
      <c r="I71" s="2" t="inlineStr">
        <is>
          <t>Aviat</t>
        </is>
      </c>
      <c r="J71" s="2" t="inlineStr">
        <is>
          <t>미국</t>
        </is>
      </c>
      <c r="K71" s="3" t="n">
        <v>2000000</v>
      </c>
      <c r="L71" s="3" t="n">
        <v>1960000</v>
      </c>
      <c r="M71" s="4">
        <f>K71-L71</f>
        <v/>
      </c>
      <c r="N71" s="5">
        <f>IF(K71=0,0,M71/K71)</f>
        <v/>
      </c>
      <c r="O71" s="3" t="n">
        <v>0</v>
      </c>
      <c r="P71" s="4">
        <f>O71*K71</f>
        <v/>
      </c>
      <c r="Q71" s="2" t="inlineStr">
        <is>
          <t>계약기간 만료에 따른 신규계약</t>
        </is>
      </c>
      <c r="R71" s="2" t="inlineStr">
        <is>
          <t>ㅇ 바코드 유무 : Y
ㅇ 구매속성 : IP구매
ㅇ 자재상태 : 0
ㅇ 검사속성 : 검사제외</t>
        </is>
      </c>
    </row>
    <row r="72">
      <c r="A72" s="2" t="n">
        <v>71</v>
      </c>
      <c r="B72" s="2" t="inlineStr">
        <is>
          <t>K9188147</t>
        </is>
      </c>
      <c r="C72" s="2" t="n"/>
      <c r="D72" s="2" t="inlineStr">
        <is>
          <t>10015919</t>
        </is>
      </c>
      <c r="E72" s="2" t="inlineStr">
        <is>
          <t>CTR 8540 Redundant Power Supply Module</t>
        </is>
      </c>
      <c r="F72" s="2" t="inlineStr">
        <is>
          <t>K9188147</t>
        </is>
      </c>
      <c r="G72" s="2" t="inlineStr">
        <is>
          <t>전원카드</t>
        </is>
      </c>
      <c r="H72" s="2" t="inlineStr">
        <is>
          <t>EA</t>
        </is>
      </c>
      <c r="I72" s="2" t="inlineStr">
        <is>
          <t>Aviat</t>
        </is>
      </c>
      <c r="J72" s="2" t="inlineStr">
        <is>
          <t>미국</t>
        </is>
      </c>
      <c r="K72" s="3" t="n">
        <v>500000</v>
      </c>
      <c r="L72" s="3" t="n">
        <v>490000</v>
      </c>
      <c r="M72" s="4">
        <f>K72-L72</f>
        <v/>
      </c>
      <c r="N72" s="5">
        <f>IF(K72=0,0,M72/K72)</f>
        <v/>
      </c>
      <c r="O72" s="6" t="n">
        <v>3</v>
      </c>
      <c r="P72" s="4">
        <f>O72*K72</f>
        <v/>
      </c>
      <c r="Q72" s="2" t="inlineStr">
        <is>
          <t>계약기간 만료에 따른 신규계약</t>
        </is>
      </c>
      <c r="R72" s="2" t="inlineStr">
        <is>
          <t>ㅇ 바코드 유무 : Y
ㅇ 구매속성 : IP구매
ㅇ 자재상태 : 0
ㅇ 검사속성 : 검사제외</t>
        </is>
      </c>
    </row>
    <row r="73">
      <c r="A73" s="2" t="n">
        <v>72</v>
      </c>
      <c r="B73" s="2" t="inlineStr">
        <is>
          <t>K9188148</t>
        </is>
      </c>
      <c r="C73" s="2" t="n"/>
      <c r="D73" s="2" t="inlineStr">
        <is>
          <t>10148515</t>
        </is>
      </c>
      <c r="E73" s="2" t="inlineStr">
        <is>
          <t>CTR 8540 PoEx2  Module</t>
        </is>
      </c>
      <c r="F73" s="2" t="inlineStr">
        <is>
          <t>K9188148</t>
        </is>
      </c>
      <c r="G73" s="2" t="inlineStr">
        <is>
          <t>PoE카드</t>
        </is>
      </c>
      <c r="H73" s="2" t="inlineStr">
        <is>
          <t>EA</t>
        </is>
      </c>
      <c r="I73" s="2" t="inlineStr">
        <is>
          <t>Aviat</t>
        </is>
      </c>
      <c r="J73" s="2" t="inlineStr">
        <is>
          <t>미국</t>
        </is>
      </c>
      <c r="K73" s="3" t="n">
        <v>635000</v>
      </c>
      <c r="L73" s="3" t="n">
        <v>620000</v>
      </c>
      <c r="M73" s="4">
        <f>K73-L73</f>
        <v/>
      </c>
      <c r="N73" s="5">
        <f>IF(K73=0,0,M73/K73)</f>
        <v/>
      </c>
      <c r="O73" s="3" t="n">
        <v>0</v>
      </c>
      <c r="P73" s="4">
        <f>O73*K73</f>
        <v/>
      </c>
      <c r="Q73" s="2" t="inlineStr">
        <is>
          <t>계약기간 만료에 따른 신규계약</t>
        </is>
      </c>
      <c r="R73" s="2" t="inlineStr">
        <is>
          <t>ㅇ 바코드 유무 : Y
ㅇ 구매속성 : IP구매
ㅇ 자재상태 : 0
ㅇ 검사속성 : 검사제외</t>
        </is>
      </c>
    </row>
    <row r="74">
      <c r="A74" s="2" t="n">
        <v>73</v>
      </c>
      <c r="B74" s="2" t="inlineStr">
        <is>
          <t>K9188149</t>
        </is>
      </c>
      <c r="C74" s="2" t="n"/>
      <c r="D74" s="2" t="inlineStr">
        <is>
          <t>10015920</t>
        </is>
      </c>
      <c r="E74" s="2" t="inlineStr">
        <is>
          <t>CTR 8540 FAN Module</t>
        </is>
      </c>
      <c r="F74" s="2" t="inlineStr">
        <is>
          <t>K9188149</t>
        </is>
      </c>
      <c r="G74" s="2" t="inlineStr">
        <is>
          <t>팬 카드</t>
        </is>
      </c>
      <c r="H74" s="2" t="inlineStr">
        <is>
          <t>EA</t>
        </is>
      </c>
      <c r="I74" s="2" t="inlineStr">
        <is>
          <t>Aviat</t>
        </is>
      </c>
      <c r="J74" s="2" t="inlineStr">
        <is>
          <t>미국</t>
        </is>
      </c>
      <c r="K74" s="3" t="n">
        <v>200000</v>
      </c>
      <c r="L74" s="3" t="n">
        <v>196000</v>
      </c>
      <c r="M74" s="4">
        <f>K74-L74</f>
        <v/>
      </c>
      <c r="N74" s="5">
        <f>IF(K74=0,0,M74/K74)</f>
        <v/>
      </c>
      <c r="O74" s="6" t="n">
        <v>7</v>
      </c>
      <c r="P74" s="4">
        <f>O74*K74</f>
        <v/>
      </c>
      <c r="Q74" s="2" t="inlineStr">
        <is>
          <t>계약기간 만료에 따른 신규계약</t>
        </is>
      </c>
      <c r="R74" s="2" t="inlineStr">
        <is>
          <t>ㅇ 바코드 유무 : Y
ㅇ 구매속성 : IP구매
ㅇ 자재상태 : 0
ㅇ 검사속성 : 검사제외</t>
        </is>
      </c>
    </row>
    <row r="75">
      <c r="A75" s="2" t="n">
        <v>74</v>
      </c>
      <c r="B75" s="2" t="inlineStr">
        <is>
          <t>K9188150</t>
        </is>
      </c>
      <c r="C75" s="2" t="n"/>
      <c r="D75" s="2" t="inlineStr">
        <is>
          <t>10015921</t>
        </is>
      </c>
      <c r="E75" s="2" t="inlineStr">
        <is>
          <t>11GHz, ODU600hp, Low band</t>
        </is>
      </c>
      <c r="F75" s="2" t="inlineStr">
        <is>
          <t>K9188150</t>
        </is>
      </c>
      <c r="G75" s="2" t="inlineStr">
        <is>
          <t>11G 옥외 설치용 무선 송수신부 (Low Band)</t>
        </is>
      </c>
      <c r="H75" s="2" t="inlineStr">
        <is>
          <t>EA</t>
        </is>
      </c>
      <c r="I75" s="2" t="inlineStr">
        <is>
          <t>Aviat</t>
        </is>
      </c>
      <c r="J75" s="2" t="inlineStr">
        <is>
          <t>미국</t>
        </is>
      </c>
      <c r="K75" s="3" t="n">
        <v>3528000</v>
      </c>
      <c r="L75" s="3" t="n">
        <v>3455000</v>
      </c>
      <c r="M75" s="4">
        <f>K75-L75</f>
        <v/>
      </c>
      <c r="N75" s="5">
        <f>IF(K75=0,0,M75/K75)</f>
        <v/>
      </c>
      <c r="O75" s="3" t="n">
        <v>0</v>
      </c>
      <c r="P75" s="4">
        <f>O75*K75</f>
        <v/>
      </c>
      <c r="Q75" s="2" t="inlineStr">
        <is>
          <t>계약기간 만료에 따른 신규계약</t>
        </is>
      </c>
      <c r="R75" s="2" t="inlineStr">
        <is>
          <t>ㅇ 바코드 유무 : Y
ㅇ 구매속성 : IP구매
ㅇ 자재상태 : 0
ㅇ 검사속성 : 검사제외</t>
        </is>
      </c>
    </row>
    <row r="76">
      <c r="A76" s="2" t="n">
        <v>75</v>
      </c>
      <c r="B76" s="2" t="inlineStr">
        <is>
          <t>K9188151</t>
        </is>
      </c>
      <c r="C76" s="2" t="n"/>
      <c r="D76" s="2" t="inlineStr">
        <is>
          <t>10015922</t>
        </is>
      </c>
      <c r="E76" s="2" t="inlineStr">
        <is>
          <t>11GHz, ODU600hp, High band</t>
        </is>
      </c>
      <c r="F76" s="2" t="inlineStr">
        <is>
          <t>K9188151</t>
        </is>
      </c>
      <c r="G76" s="2" t="inlineStr">
        <is>
          <t>11G 옥외 설치용 무선 송수신부 (High Band)</t>
        </is>
      </c>
      <c r="H76" s="2" t="inlineStr">
        <is>
          <t>EA</t>
        </is>
      </c>
      <c r="I76" s="2" t="inlineStr">
        <is>
          <t>Aviat</t>
        </is>
      </c>
      <c r="J76" s="2" t="inlineStr">
        <is>
          <t>미국</t>
        </is>
      </c>
      <c r="K76" s="3" t="n">
        <v>3528000</v>
      </c>
      <c r="L76" s="3" t="n">
        <v>3455000</v>
      </c>
      <c r="M76" s="4">
        <f>K76-L76</f>
        <v/>
      </c>
      <c r="N76" s="5">
        <f>IF(K76=0,0,M76/K76)</f>
        <v/>
      </c>
      <c r="O76" s="3" t="n">
        <v>0</v>
      </c>
      <c r="P76" s="4">
        <f>O76*K76</f>
        <v/>
      </c>
      <c r="Q76" s="2" t="inlineStr">
        <is>
          <t>계약기간 만료에 따른 신규계약</t>
        </is>
      </c>
      <c r="R76" s="2" t="inlineStr">
        <is>
          <t>ㅇ 바코드 유무 : Y
ㅇ 구매속성 : IP구매
ㅇ 자재상태 : 0
ㅇ 검사속성 : 검사제외</t>
        </is>
      </c>
    </row>
    <row r="77">
      <c r="A77" s="2" t="n">
        <v>76</v>
      </c>
      <c r="B77" s="2" t="inlineStr">
        <is>
          <t>K9188152</t>
        </is>
      </c>
      <c r="C77" s="2" t="n"/>
      <c r="D77" s="2" t="inlineStr">
        <is>
          <t>10148516</t>
        </is>
      </c>
      <c r="E77" s="2" t="inlineStr">
        <is>
          <t>ODU 600T, 8 GHz, TRANSCEIVER</t>
        </is>
      </c>
      <c r="F77" s="2" t="inlineStr">
        <is>
          <t>K9188152</t>
        </is>
      </c>
      <c r="G77" s="2" t="inlineStr">
        <is>
          <t>Outdoor Transceiver</t>
        </is>
      </c>
      <c r="H77" s="2" t="inlineStr">
        <is>
          <t>EA</t>
        </is>
      </c>
      <c r="I77" s="2" t="inlineStr">
        <is>
          <t>Aviat</t>
        </is>
      </c>
      <c r="J77" s="2" t="inlineStr">
        <is>
          <t>미국</t>
        </is>
      </c>
      <c r="K77" s="3" t="n">
        <v>3000000</v>
      </c>
      <c r="L77" s="3" t="n">
        <v>2940000</v>
      </c>
      <c r="M77" s="4">
        <f>K77-L77</f>
        <v/>
      </c>
      <c r="N77" s="5">
        <f>IF(K77=0,0,M77/K77)</f>
        <v/>
      </c>
      <c r="O77" s="3" t="n">
        <v>0</v>
      </c>
      <c r="P77" s="4">
        <f>O77*K77</f>
        <v/>
      </c>
      <c r="Q77" s="2" t="inlineStr">
        <is>
          <t>계약기간 만료에 따른 신규계약</t>
        </is>
      </c>
      <c r="R77" s="2" t="inlineStr">
        <is>
          <t>ㅇ 바코드 유무 : Y
ㅇ 구매속성 : IP구매
ㅇ 자재상태 : 0
ㅇ 검사속성 : 검사제외</t>
        </is>
      </c>
    </row>
    <row r="78">
      <c r="A78" s="2" t="n">
        <v>77</v>
      </c>
      <c r="B78" s="2" t="inlineStr">
        <is>
          <t>K9188153</t>
        </is>
      </c>
      <c r="C78" s="2" t="n"/>
      <c r="D78" s="2" t="inlineStr">
        <is>
          <t>10148517</t>
        </is>
      </c>
      <c r="E78" s="2" t="inlineStr">
        <is>
          <t>ODU 600T, 11 GHz, TRANSCEIVER</t>
        </is>
      </c>
      <c r="F78" s="2" t="inlineStr">
        <is>
          <t>K9188153</t>
        </is>
      </c>
      <c r="G78" s="2" t="inlineStr">
        <is>
          <t>Outdoor Transceiver</t>
        </is>
      </c>
      <c r="H78" s="2" t="inlineStr">
        <is>
          <t>EA</t>
        </is>
      </c>
      <c r="I78" s="2" t="inlineStr">
        <is>
          <t>Aviat</t>
        </is>
      </c>
      <c r="J78" s="2" t="inlineStr">
        <is>
          <t>미국</t>
        </is>
      </c>
      <c r="K78" s="3" t="n">
        <v>3000000</v>
      </c>
      <c r="L78" s="3" t="n">
        <v>2940000</v>
      </c>
      <c r="M78" s="4">
        <f>K78-L78</f>
        <v/>
      </c>
      <c r="N78" s="5">
        <f>IF(K78=0,0,M78/K78)</f>
        <v/>
      </c>
      <c r="O78" s="3" t="n">
        <v>0</v>
      </c>
      <c r="P78" s="4">
        <f>O78*K78</f>
        <v/>
      </c>
      <c r="Q78" s="2" t="inlineStr">
        <is>
          <t>계약기간 만료에 따른 신규계약</t>
        </is>
      </c>
      <c r="R78" s="2" t="inlineStr">
        <is>
          <t>ㅇ 바코드 유무 : Y
ㅇ 구매속성 : IP구매
ㅇ 자재상태 : 0
ㅇ 검사속성 : 검사제외</t>
        </is>
      </c>
    </row>
    <row r="79">
      <c r="A79" s="2" t="n">
        <v>78</v>
      </c>
      <c r="B79" s="2" t="inlineStr">
        <is>
          <t>K9188154</t>
        </is>
      </c>
      <c r="C79" s="2" t="n"/>
      <c r="D79" s="2" t="inlineStr">
        <is>
          <t>10148518</t>
        </is>
      </c>
      <c r="E79" s="2" t="inlineStr">
        <is>
          <t>8 GHz OBU SINGLE POL, 4 PORT, PLAN A (6x40MHz)</t>
        </is>
      </c>
      <c r="F79" s="2" t="inlineStr">
        <is>
          <t>K9188154</t>
        </is>
      </c>
      <c r="G79" s="2" t="inlineStr">
        <is>
          <t>ODU 브랜칭 유니트</t>
        </is>
      </c>
      <c r="H79" s="2" t="inlineStr">
        <is>
          <t>EA</t>
        </is>
      </c>
      <c r="I79" s="2" t="inlineStr">
        <is>
          <t>Aviat</t>
        </is>
      </c>
      <c r="J79" s="2" t="inlineStr">
        <is>
          <t>미국</t>
        </is>
      </c>
      <c r="K79" s="3" t="n">
        <v>6750000</v>
      </c>
      <c r="L79" s="3" t="n">
        <v>6615000</v>
      </c>
      <c r="M79" s="4">
        <f>K79-L79</f>
        <v/>
      </c>
      <c r="N79" s="5">
        <f>IF(K79=0,0,M79/K79)</f>
        <v/>
      </c>
      <c r="O79" s="3" t="n">
        <v>0</v>
      </c>
      <c r="P79" s="4">
        <f>O79*K79</f>
        <v/>
      </c>
      <c r="Q79" s="2" t="inlineStr">
        <is>
          <t>계약기간 만료에 따른 신규계약</t>
        </is>
      </c>
      <c r="R79" s="2" t="inlineStr">
        <is>
          <t>ㅇ 바코드 유무 : Y
ㅇ 구매속성 : IP구매
ㅇ 자재상태 : 0
ㅇ 검사속성 : 검사제외</t>
        </is>
      </c>
    </row>
    <row r="80">
      <c r="A80" s="2" t="n">
        <v>79</v>
      </c>
      <c r="B80" s="2" t="inlineStr">
        <is>
          <t>K9188155</t>
        </is>
      </c>
      <c r="C80" s="2" t="n"/>
      <c r="D80" s="2" t="inlineStr">
        <is>
          <t>10148519</t>
        </is>
      </c>
      <c r="E80" s="2" t="inlineStr">
        <is>
          <t>11 GHz OBU SINGLE POL, 4 PORT, PLAN A (12x40MHz)</t>
        </is>
      </c>
      <c r="F80" s="2" t="inlineStr">
        <is>
          <t>K9188155</t>
        </is>
      </c>
      <c r="G80" s="2" t="inlineStr">
        <is>
          <t>ODU 브랜칭 유니트</t>
        </is>
      </c>
      <c r="H80" s="2" t="inlineStr">
        <is>
          <t>EA</t>
        </is>
      </c>
      <c r="I80" s="2" t="inlineStr">
        <is>
          <t>Aviat</t>
        </is>
      </c>
      <c r="J80" s="2" t="inlineStr">
        <is>
          <t>미국</t>
        </is>
      </c>
      <c r="K80" s="3" t="n">
        <v>6750000</v>
      </c>
      <c r="L80" s="3" t="n">
        <v>6615000</v>
      </c>
      <c r="M80" s="4">
        <f>K80-L80</f>
        <v/>
      </c>
      <c r="N80" s="5">
        <f>IF(K80=0,0,M80/K80)</f>
        <v/>
      </c>
      <c r="O80" s="3" t="n">
        <v>0</v>
      </c>
      <c r="P80" s="4">
        <f>O80*K80</f>
        <v/>
      </c>
      <c r="Q80" s="2" t="inlineStr">
        <is>
          <t>계약기간 만료에 따른 신규계약</t>
        </is>
      </c>
      <c r="R80" s="2" t="inlineStr">
        <is>
          <t>ㅇ 바코드 유무 : Y
ㅇ 구매속성 : IP구매
ㅇ 자재상태 : 0
ㅇ 검사속성 : 검사제외</t>
        </is>
      </c>
    </row>
    <row r="81">
      <c r="A81" s="2" t="n">
        <v>80</v>
      </c>
      <c r="B81" s="2" t="inlineStr">
        <is>
          <t>K9210278</t>
        </is>
      </c>
      <c r="C81" s="2" t="n"/>
      <c r="D81" s="2" t="inlineStr">
        <is>
          <t>10148520</t>
        </is>
      </c>
      <c r="E81" s="2" t="inlineStr">
        <is>
          <t>SFP TSoP STM-1/OC3 over Gig-E Module</t>
        </is>
      </c>
      <c r="F81" s="7" t="inlineStr">
        <is>
          <t>K9188156</t>
        </is>
      </c>
      <c r="G81" s="2" t="inlineStr">
        <is>
          <t>SFP TSoP STM-1 광모듈</t>
        </is>
      </c>
      <c r="H81" s="2" t="inlineStr">
        <is>
          <t>EA</t>
        </is>
      </c>
      <c r="I81" s="2" t="inlineStr">
        <is>
          <t>Aviat</t>
        </is>
      </c>
      <c r="J81" s="2" t="inlineStr">
        <is>
          <t>미국</t>
        </is>
      </c>
      <c r="K81" s="3" t="n">
        <v>1000000</v>
      </c>
      <c r="L81" s="3" t="n">
        <v>980000</v>
      </c>
      <c r="M81" s="4">
        <f>K81-L81</f>
        <v/>
      </c>
      <c r="N81" s="5">
        <f>IF(K81=0,0,M81/K81)</f>
        <v/>
      </c>
      <c r="O81" s="6" t="n">
        <v>18</v>
      </c>
      <c r="P81" s="4">
        <f>O81*K81</f>
        <v/>
      </c>
      <c r="Q81" s="2" t="inlineStr">
        <is>
          <t>계약기간 만료에 따른 신규계약</t>
        </is>
      </c>
      <c r="R81" s="2" t="inlineStr">
        <is>
          <t>ㅇ 바코드 유무 : Y
ㅇ 구매속성 : IP구매
ㅇ 자재상태 : 0
ㅇ 검사속성 : 검사제외</t>
        </is>
      </c>
    </row>
    <row r="82">
      <c r="A82" s="2" t="n">
        <v>81</v>
      </c>
      <c r="B82" s="2" t="inlineStr">
        <is>
          <t>K9188157</t>
        </is>
      </c>
      <c r="C82" s="2" t="n"/>
      <c r="D82" s="2" t="inlineStr">
        <is>
          <t>10148521</t>
        </is>
      </c>
      <c r="E82" s="2" t="inlineStr">
        <is>
          <t>OBU Dummy Load</t>
        </is>
      </c>
      <c r="F82" s="2" t="inlineStr">
        <is>
          <t>K9188157</t>
        </is>
      </c>
      <c r="G82" s="2" t="inlineStr">
        <is>
          <t>OBU Termination Load</t>
        </is>
      </c>
      <c r="H82" s="2" t="inlineStr">
        <is>
          <t>EA</t>
        </is>
      </c>
      <c r="I82" s="2" t="inlineStr">
        <is>
          <t>Aviat</t>
        </is>
      </c>
      <c r="J82" s="2" t="inlineStr">
        <is>
          <t>미국</t>
        </is>
      </c>
      <c r="K82" s="3" t="n">
        <v>850000</v>
      </c>
      <c r="L82" s="3" t="n">
        <v>833000</v>
      </c>
      <c r="M82" s="4">
        <f>K82-L82</f>
        <v/>
      </c>
      <c r="N82" s="5">
        <f>IF(K82=0,0,M82/K82)</f>
        <v/>
      </c>
      <c r="O82" s="3" t="n">
        <v>0</v>
      </c>
      <c r="P82" s="4">
        <f>O82*K82</f>
        <v/>
      </c>
      <c r="Q82" s="2" t="inlineStr">
        <is>
          <t>계약기간 만료에 따른 신규계약</t>
        </is>
      </c>
      <c r="R82" s="2" t="inlineStr">
        <is>
          <t>ㅇ 바코드 유무 : Y
ㅇ 구매속성 : IP구매
ㅇ 자재상태 : 0
ㅇ 검사속성 : 검사제외</t>
        </is>
      </c>
    </row>
    <row r="83">
      <c r="A83" s="2" t="n">
        <v>82</v>
      </c>
      <c r="B83" s="2" t="inlineStr">
        <is>
          <t>K9188158</t>
        </is>
      </c>
      <c r="C83" s="2" t="n"/>
      <c r="D83" s="2" t="inlineStr">
        <is>
          <t>10015923</t>
        </is>
      </c>
      <c r="E83" s="2" t="inlineStr">
        <is>
          <t>E1 Single Cable, 15m, for CTR 8312&amp;8540</t>
        </is>
      </c>
      <c r="F83" s="2" t="inlineStr">
        <is>
          <t>K9188158</t>
        </is>
      </c>
      <c r="G83" s="2" t="inlineStr">
        <is>
          <t>1개에 단일 8E1용 수용(신형)</t>
        </is>
      </c>
      <c r="H83" s="2" t="inlineStr">
        <is>
          <t>EA</t>
        </is>
      </c>
      <c r="I83" s="2" t="inlineStr">
        <is>
          <t>Aviat</t>
        </is>
      </c>
      <c r="J83" s="2" t="inlineStr">
        <is>
          <t>미국</t>
        </is>
      </c>
      <c r="K83" s="3" t="n">
        <v>130000</v>
      </c>
      <c r="L83" s="3" t="n">
        <v>125000</v>
      </c>
      <c r="M83" s="4">
        <f>K83-L83</f>
        <v/>
      </c>
      <c r="N83" s="5">
        <f>IF(K83=0,0,M83/K83)</f>
        <v/>
      </c>
      <c r="O83" s="3" t="n">
        <v>0</v>
      </c>
      <c r="P83" s="4">
        <f>O83*K83</f>
        <v/>
      </c>
      <c r="Q83" s="2" t="inlineStr">
        <is>
          <t>계약기간 만료에 따른 신규계약</t>
        </is>
      </c>
      <c r="R83" s="2" t="inlineStr">
        <is>
          <t>ㅇ 바코드 유무 : Y
ㅇ 구매속성 : IP구매
ㅇ 자재상태 : 0
ㅇ 검사속성 : 검사제외</t>
        </is>
      </c>
    </row>
    <row r="84">
      <c r="A84" s="2" t="n">
        <v>83</v>
      </c>
      <c r="B84" s="2" t="inlineStr">
        <is>
          <t>K9188159</t>
        </is>
      </c>
      <c r="C84" s="2" t="n"/>
      <c r="D84" s="2" t="inlineStr">
        <is>
          <t>10015925</t>
        </is>
      </c>
      <c r="E84" s="2" t="inlineStr">
        <is>
          <t>FLEXIBLE WAVEGUIDE, 10.7 - 11.7 GHZ, 1200MM, PDR100 FLANGES</t>
        </is>
      </c>
      <c r="F84" s="2" t="inlineStr">
        <is>
          <t>K9188159</t>
        </is>
      </c>
      <c r="G84" s="2" t="inlineStr">
        <is>
          <t>11Ghz용 W/G, ODU와 ANT연결용, 1200mm</t>
        </is>
      </c>
      <c r="H84" s="2" t="inlineStr">
        <is>
          <t>EA</t>
        </is>
      </c>
      <c r="I84" s="2" t="inlineStr">
        <is>
          <t>Aviat</t>
        </is>
      </c>
      <c r="J84" s="2" t="inlineStr">
        <is>
          <t>미국</t>
        </is>
      </c>
      <c r="K84" s="3" t="n">
        <v>750000</v>
      </c>
      <c r="L84" s="3" t="n">
        <v>735000</v>
      </c>
      <c r="M84" s="4">
        <f>K84-L84</f>
        <v/>
      </c>
      <c r="N84" s="5">
        <f>IF(K84=0,0,M84/K84)</f>
        <v/>
      </c>
      <c r="O84" s="6" t="n">
        <v>22</v>
      </c>
      <c r="P84" s="4">
        <f>O84*K84</f>
        <v/>
      </c>
      <c r="Q84" s="2" t="inlineStr">
        <is>
          <t>계약기간 만료에 따른 신규계약</t>
        </is>
      </c>
      <c r="R84" s="2" t="inlineStr">
        <is>
          <t>ㅇ 바코드 유무 : Y
ㅇ 구매속성 : IP구매
ㅇ 자재상태 : 0
ㅇ 검사속성 : 검사제외</t>
        </is>
      </c>
    </row>
    <row r="85">
      <c r="A85" s="2" t="n">
        <v>84</v>
      </c>
      <c r="B85" s="2" t="inlineStr">
        <is>
          <t>K9188160</t>
        </is>
      </c>
      <c r="C85" s="2" t="n"/>
      <c r="D85" s="2" t="inlineStr">
        <is>
          <t>10015926</t>
        </is>
      </c>
      <c r="E85" s="2" t="inlineStr">
        <is>
          <t>CTR 8312 Node License</t>
        </is>
      </c>
      <c r="F85" s="2" t="inlineStr">
        <is>
          <t>K9188160</t>
        </is>
      </c>
      <c r="G85" s="2" t="inlineStr">
        <is>
          <t>노드 라이선스</t>
        </is>
      </c>
      <c r="H85" s="2" t="inlineStr">
        <is>
          <t>EA</t>
        </is>
      </c>
      <c r="I85" s="2" t="inlineStr">
        <is>
          <t>Aviat</t>
        </is>
      </c>
      <c r="J85" s="2" t="inlineStr">
        <is>
          <t>미국</t>
        </is>
      </c>
      <c r="K85" s="3" t="n">
        <v>200000</v>
      </c>
      <c r="L85" s="3" t="n">
        <v>196000</v>
      </c>
      <c r="M85" s="4">
        <f>K85-L85</f>
        <v/>
      </c>
      <c r="N85" s="5">
        <f>IF(K85=0,0,M85/K85)</f>
        <v/>
      </c>
      <c r="O85" s="6" t="n">
        <v>4</v>
      </c>
      <c r="P85" s="4">
        <f>O85*K85</f>
        <v/>
      </c>
      <c r="Q85" s="2" t="inlineStr">
        <is>
          <t>계약기간 만료에 따른 신규계약</t>
        </is>
      </c>
      <c r="R85" s="2" t="inlineStr">
        <is>
          <t>ㅇ 바코드 유무 : Y
ㅇ 구매속성 : IP구매
ㅇ 자재상태 : 0
ㅇ 검사속성 : 검사제외</t>
        </is>
      </c>
    </row>
    <row r="86">
      <c r="A86" s="2" t="n">
        <v>85</v>
      </c>
      <c r="B86" s="2" t="inlineStr">
        <is>
          <t>K9188162</t>
        </is>
      </c>
      <c r="C86" s="2" t="n"/>
      <c r="D86" s="2" t="inlineStr">
        <is>
          <t>10015927</t>
        </is>
      </c>
      <c r="E86" s="2" t="inlineStr">
        <is>
          <t>CTR 8540 Node License</t>
        </is>
      </c>
      <c r="F86" s="2" t="inlineStr">
        <is>
          <t>K9188162</t>
        </is>
      </c>
      <c r="G86" s="2" t="inlineStr">
        <is>
          <t>노드 라이선스</t>
        </is>
      </c>
      <c r="H86" s="2" t="inlineStr">
        <is>
          <t>EA</t>
        </is>
      </c>
      <c r="I86" s="2" t="inlineStr">
        <is>
          <t>Aviat</t>
        </is>
      </c>
      <c r="J86" s="2" t="inlineStr">
        <is>
          <t>미국</t>
        </is>
      </c>
      <c r="K86" s="3" t="n">
        <v>1500000</v>
      </c>
      <c r="L86" s="3" t="n">
        <v>1470000</v>
      </c>
      <c r="M86" s="4">
        <f>K86-L86</f>
        <v/>
      </c>
      <c r="N86" s="5">
        <f>IF(K86=0,0,M86/K86)</f>
        <v/>
      </c>
      <c r="O86" s="3" t="n">
        <v>1</v>
      </c>
      <c r="P86" s="4">
        <f>O86*K86</f>
        <v/>
      </c>
      <c r="Q86" s="2" t="inlineStr">
        <is>
          <t>계약기간 만료에 따른 신규계약</t>
        </is>
      </c>
      <c r="R86" s="2" t="inlineStr">
        <is>
          <t>ㅇ 바코드 유무 : Y
ㅇ 구매속성 : IP구매
ㅇ 자재상태 : 0
ㅇ 검사속성 : 검사제외</t>
        </is>
      </c>
    </row>
    <row r="87">
      <c r="A87" s="2" t="n">
        <v>86</v>
      </c>
      <c r="B87" s="2" t="inlineStr">
        <is>
          <t>K9193433</t>
        </is>
      </c>
      <c r="C87" s="2" t="n"/>
      <c r="D87" s="2" t="inlineStr">
        <is>
          <t>10210380</t>
        </is>
      </c>
      <c r="E87" s="2" t="inlineStr">
        <is>
          <t>AVIAT_ANT-HP-DP-2FT-8</t>
        </is>
      </c>
      <c r="F87" s="2" t="inlineStr">
        <is>
          <t>K9193433</t>
        </is>
      </c>
      <c r="G87" s="2" t="inlineStr">
        <is>
          <t>듀얼/이중극성(V극성+H극성) 파라볼릭 안테나(Size: 2피트, 주파수 대역: 8GHz)</t>
        </is>
      </c>
      <c r="H87" s="2" t="inlineStr">
        <is>
          <t>EA</t>
        </is>
      </c>
      <c r="I87" s="2" t="inlineStr">
        <is>
          <t>Aviat</t>
        </is>
      </c>
      <c r="J87" s="2" t="inlineStr">
        <is>
          <t>미국</t>
        </is>
      </c>
      <c r="K87" s="3" t="n">
        <v>1700000</v>
      </c>
      <c r="L87" s="3" t="n">
        <v>1649000</v>
      </c>
      <c r="M87" s="4">
        <f>K87-L87</f>
        <v/>
      </c>
      <c r="N87" s="5">
        <f>IF(K87=0,0,M87/K87)</f>
        <v/>
      </c>
      <c r="O87" s="3" t="n">
        <v>0</v>
      </c>
      <c r="P87" s="4">
        <f>O87*K87</f>
        <v/>
      </c>
      <c r="Q87" s="2" t="inlineStr">
        <is>
          <t>계약기간 만료에 따른 신규계약</t>
        </is>
      </c>
      <c r="R87" s="2" t="inlineStr">
        <is>
          <t>ㅇ 바코드 유무 : Y
ㅇ 구매속성 : IP구매
ㅇ 자재상태 : 0
ㅇ 검사속성 : 검사제외</t>
        </is>
      </c>
    </row>
    <row r="88">
      <c r="A88" s="2" t="n">
        <v>87</v>
      </c>
      <c r="B88" s="2" t="inlineStr">
        <is>
          <t>K9193434</t>
        </is>
      </c>
      <c r="C88" s="2" t="n"/>
      <c r="D88" s="2" t="inlineStr">
        <is>
          <t>10210382</t>
        </is>
      </c>
      <c r="E88" s="2" t="inlineStr">
        <is>
          <t>AVIAT_ANT-HP-DP-2FT-11</t>
        </is>
      </c>
      <c r="F88" s="2" t="inlineStr">
        <is>
          <t>K9193434</t>
        </is>
      </c>
      <c r="G88" s="2" t="inlineStr">
        <is>
          <t>듀얼/이중극성(V극성+H극성) 파라볼릭 안테나(Size: 2피트, 주파수 대역: 11GHz)</t>
        </is>
      </c>
      <c r="H88" s="2" t="inlineStr">
        <is>
          <t>EA</t>
        </is>
      </c>
      <c r="I88" s="2" t="inlineStr">
        <is>
          <t>Aviat</t>
        </is>
      </c>
      <c r="J88" s="2" t="inlineStr">
        <is>
          <t>미국</t>
        </is>
      </c>
      <c r="K88" s="3" t="n">
        <v>1700000</v>
      </c>
      <c r="L88" s="3" t="n">
        <v>1649000</v>
      </c>
      <c r="M88" s="4">
        <f>K88-L88</f>
        <v/>
      </c>
      <c r="N88" s="5">
        <f>IF(K88=0,0,M88/K88)</f>
        <v/>
      </c>
      <c r="O88" s="3" t="n">
        <v>1</v>
      </c>
      <c r="P88" s="4">
        <f>O88*K88</f>
        <v/>
      </c>
      <c r="Q88" s="2" t="inlineStr">
        <is>
          <t>계약기간 만료에 따른 신규계약</t>
        </is>
      </c>
      <c r="R88" s="2" t="inlineStr">
        <is>
          <t>ㅇ 바코드 유무 : Y
ㅇ 구매속성 : IP구매
ㅇ 자재상태 : 0
ㅇ 검사속성 : 검사제외</t>
        </is>
      </c>
    </row>
    <row r="89">
      <c r="A89" s="2" t="n">
        <v>88</v>
      </c>
      <c r="B89" s="2" t="inlineStr">
        <is>
          <t>K9193435</t>
        </is>
      </c>
      <c r="C89" s="2" t="n"/>
      <c r="D89" s="2" t="inlineStr">
        <is>
          <t>10210384</t>
        </is>
      </c>
      <c r="E89" s="2" t="inlineStr">
        <is>
          <t>AVIAT_ANT-HP-DP-4FT-8</t>
        </is>
      </c>
      <c r="F89" s="2" t="inlineStr">
        <is>
          <t>K9193435</t>
        </is>
      </c>
      <c r="G89" s="2" t="inlineStr">
        <is>
          <t>듀얼/이중극성(V극성+H극성) 파라볼릭 안테나(Size: 4피트, 주파수 대역: 8GHz)</t>
        </is>
      </c>
      <c r="H89" s="2" t="inlineStr">
        <is>
          <t>EA</t>
        </is>
      </c>
      <c r="I89" s="2" t="inlineStr">
        <is>
          <t>Aviat</t>
        </is>
      </c>
      <c r="J89" s="2" t="inlineStr">
        <is>
          <t>미국</t>
        </is>
      </c>
      <c r="K89" s="3" t="n">
        <v>3500000</v>
      </c>
      <c r="L89" s="3" t="n">
        <v>3395000</v>
      </c>
      <c r="M89" s="4">
        <f>K89-L89</f>
        <v/>
      </c>
      <c r="N89" s="5">
        <f>IF(K89=0,0,M89/K89)</f>
        <v/>
      </c>
      <c r="O89" s="3" t="n">
        <v>1</v>
      </c>
      <c r="P89" s="4">
        <f>O89*K89</f>
        <v/>
      </c>
      <c r="Q89" s="2" t="inlineStr">
        <is>
          <t>계약기간 만료에 따른 신규계약</t>
        </is>
      </c>
      <c r="R89" s="2" t="inlineStr">
        <is>
          <t>ㅇ 바코드 유무 : Y
ㅇ 구매속성 : IP구매
ㅇ 자재상태 : 0
ㅇ 검사속성 : 검사제외</t>
        </is>
      </c>
    </row>
    <row r="90">
      <c r="A90" s="2" t="n">
        <v>89</v>
      </c>
      <c r="B90" s="2" t="inlineStr">
        <is>
          <t>K9193436</t>
        </is>
      </c>
      <c r="C90" s="2" t="n"/>
      <c r="D90" s="2" t="inlineStr">
        <is>
          <t>10210386</t>
        </is>
      </c>
      <c r="E90" s="2" t="inlineStr">
        <is>
          <t>AVIAT_ANT-HP-DP-4FT-11</t>
        </is>
      </c>
      <c r="F90" s="2" t="inlineStr">
        <is>
          <t>K9193436</t>
        </is>
      </c>
      <c r="G90" s="2" t="inlineStr">
        <is>
          <t>듀얼/이중극성(V극성+H극성) 파라볼릭 안테나(Size: 4피트, 주파수 대역: 11GHz)</t>
        </is>
      </c>
      <c r="H90" s="2" t="inlineStr">
        <is>
          <t>EA</t>
        </is>
      </c>
      <c r="I90" s="2" t="inlineStr">
        <is>
          <t>Aviat</t>
        </is>
      </c>
      <c r="J90" s="2" t="inlineStr">
        <is>
          <t>미국</t>
        </is>
      </c>
      <c r="K90" s="3" t="n">
        <v>3500000</v>
      </c>
      <c r="L90" s="3" t="n">
        <v>3395000</v>
      </c>
      <c r="M90" s="4">
        <f>K90-L90</f>
        <v/>
      </c>
      <c r="N90" s="5">
        <f>IF(K90=0,0,M90/K90)</f>
        <v/>
      </c>
      <c r="O90" s="3" t="n">
        <v>1</v>
      </c>
      <c r="P90" s="4">
        <f>O90*K90</f>
        <v/>
      </c>
      <c r="Q90" s="2" t="inlineStr">
        <is>
          <t>계약기간 만료에 따른 신규계약</t>
        </is>
      </c>
      <c r="R90" s="2" t="inlineStr">
        <is>
          <t>ㅇ 바코드 유무 : Y
ㅇ 구매속성 : IP구매
ㅇ 자재상태 : 0
ㅇ 검사속성 : 검사제외</t>
        </is>
      </c>
    </row>
    <row r="91">
      <c r="A91" s="2" t="n">
        <v>90</v>
      </c>
      <c r="B91" s="2" t="inlineStr">
        <is>
          <t>K9193437</t>
        </is>
      </c>
      <c r="C91" s="2" t="n"/>
      <c r="D91" s="2" t="inlineStr">
        <is>
          <t>10210388</t>
        </is>
      </c>
      <c r="E91" s="2" t="inlineStr">
        <is>
          <t>AVIAT_ANT-HP-DP-6FT-8</t>
        </is>
      </c>
      <c r="F91" s="2" t="inlineStr">
        <is>
          <t>K9193437</t>
        </is>
      </c>
      <c r="G91" s="2" t="inlineStr">
        <is>
          <t>듀얼/이중극성(V극성+H극성) 파라볼릭 안테나(Size: 6피트, 주파수 대역: 8GHz)</t>
        </is>
      </c>
      <c r="H91" s="2" t="inlineStr">
        <is>
          <t>EA</t>
        </is>
      </c>
      <c r="I91" s="2" t="inlineStr">
        <is>
          <t>Aviat</t>
        </is>
      </c>
      <c r="J91" s="2" t="inlineStr">
        <is>
          <t>미국</t>
        </is>
      </c>
      <c r="K91" s="3" t="n">
        <v>5000000</v>
      </c>
      <c r="L91" s="3" t="n">
        <v>4850000</v>
      </c>
      <c r="M91" s="4">
        <f>K91-L91</f>
        <v/>
      </c>
      <c r="N91" s="5">
        <f>IF(K91=0,0,M91/K91)</f>
        <v/>
      </c>
      <c r="O91" s="3" t="n">
        <v>1</v>
      </c>
      <c r="P91" s="4">
        <f>O91*K91</f>
        <v/>
      </c>
      <c r="Q91" s="2" t="inlineStr">
        <is>
          <t>계약기간 만료에 따른 신규계약</t>
        </is>
      </c>
      <c r="R91" s="2" t="inlineStr">
        <is>
          <t>ㅇ 바코드 유무 : Y
ㅇ 구매속성 : IP구매
ㅇ 자재상태 : 0
ㅇ 검사속성 : 검사제외</t>
        </is>
      </c>
    </row>
    <row r="92">
      <c r="A92" s="2" t="n">
        <v>91</v>
      </c>
      <c r="B92" s="2" t="inlineStr">
        <is>
          <t>K9193438</t>
        </is>
      </c>
      <c r="C92" s="2" t="n"/>
      <c r="D92" s="2" t="inlineStr">
        <is>
          <t>10210390</t>
        </is>
      </c>
      <c r="E92" s="2" t="inlineStr">
        <is>
          <t>AVIAT_ANT-HP-DP-6FT-11</t>
        </is>
      </c>
      <c r="F92" s="2" t="inlineStr">
        <is>
          <t>K9193438</t>
        </is>
      </c>
      <c r="G92" s="2" t="inlineStr">
        <is>
          <t>듀얼/이중극성(V극성+H극성) 파라볼릭 안테나(Size: 6피트, 주파수 대역: 11GHz)</t>
        </is>
      </c>
      <c r="H92" s="2" t="inlineStr">
        <is>
          <t>EA</t>
        </is>
      </c>
      <c r="I92" s="2" t="inlineStr">
        <is>
          <t>Aviat</t>
        </is>
      </c>
      <c r="J92" s="2" t="inlineStr">
        <is>
          <t>미국</t>
        </is>
      </c>
      <c r="K92" s="3" t="n">
        <v>5000000</v>
      </c>
      <c r="L92" s="3" t="n">
        <v>4850000</v>
      </c>
      <c r="M92" s="4">
        <f>K92-L92</f>
        <v/>
      </c>
      <c r="N92" s="5">
        <f>IF(K92=0,0,M92/K92)</f>
        <v/>
      </c>
      <c r="O92" s="3" t="n">
        <v>0</v>
      </c>
      <c r="P92" s="4">
        <f>O92*K92</f>
        <v/>
      </c>
      <c r="Q92" s="2" t="inlineStr">
        <is>
          <t>계약기간 만료에 따른 신규계약</t>
        </is>
      </c>
      <c r="R92" s="2" t="inlineStr">
        <is>
          <t>ㅇ 바코드 유무 : Y
ㅇ 구매속성 : IP구매
ㅇ 자재상태 : 0
ㅇ 검사속성 : 검사제외</t>
        </is>
      </c>
    </row>
    <row r="93">
      <c r="A93" s="2" t="n">
        <v>92</v>
      </c>
      <c r="B93" s="2" t="inlineStr">
        <is>
          <t>K9193439</t>
        </is>
      </c>
      <c r="C93" s="2" t="n"/>
      <c r="D93" s="2" t="inlineStr">
        <is>
          <t>10210392</t>
        </is>
      </c>
      <c r="E93" s="2" t="inlineStr">
        <is>
          <t>AVIAT_ANT-HP-DP-8FT-8</t>
        </is>
      </c>
      <c r="F93" s="2" t="inlineStr">
        <is>
          <t>K9193439</t>
        </is>
      </c>
      <c r="G93" s="2" t="inlineStr">
        <is>
          <t>듀얼/이중극성(V극성+H극성) 파라볼릭 안테나(Size: 8피트, 주파수 대역: 8GHz)</t>
        </is>
      </c>
      <c r="H93" s="2" t="inlineStr">
        <is>
          <t>EA</t>
        </is>
      </c>
      <c r="I93" s="2" t="inlineStr">
        <is>
          <t>Aviat</t>
        </is>
      </c>
      <c r="J93" s="2" t="inlineStr">
        <is>
          <t>미국</t>
        </is>
      </c>
      <c r="K93" s="3" t="n">
        <v>6800000</v>
      </c>
      <c r="L93" s="3" t="n">
        <v>6596000</v>
      </c>
      <c r="M93" s="4">
        <f>K93-L93</f>
        <v/>
      </c>
      <c r="N93" s="5">
        <f>IF(K93=0,0,M93/K93)</f>
        <v/>
      </c>
      <c r="O93" s="3" t="n">
        <v>0</v>
      </c>
      <c r="P93" s="4">
        <f>O93*K93</f>
        <v/>
      </c>
      <c r="Q93" s="2" t="inlineStr">
        <is>
          <t>계약기간 만료에 따른 신규계약</t>
        </is>
      </c>
      <c r="R93" s="2" t="inlineStr">
        <is>
          <t>ㅇ 바코드 유무 : Y
ㅇ 구매속성 : IP구매
ㅇ 자재상태 : 0
ㅇ 검사속성 : 검사제외</t>
        </is>
      </c>
    </row>
    <row r="94">
      <c r="A94" s="2" t="n">
        <v>93</v>
      </c>
      <c r="B94" s="2" t="inlineStr">
        <is>
          <t>K9193440</t>
        </is>
      </c>
      <c r="C94" s="2" t="n"/>
      <c r="D94" s="2" t="inlineStr">
        <is>
          <t>10210394</t>
        </is>
      </c>
      <c r="E94" s="2" t="inlineStr">
        <is>
          <t>AVIAT_ANT-HP-DP-8FT-11</t>
        </is>
      </c>
      <c r="F94" s="2" t="inlineStr">
        <is>
          <t>K9193440</t>
        </is>
      </c>
      <c r="G94" s="2" t="inlineStr">
        <is>
          <t>듀얼/이중극성(V극성+H극성) 파라볼릭 안테나(Size: 8피트, 주파수 대역: 11GHz)</t>
        </is>
      </c>
      <c r="H94" s="2" t="inlineStr">
        <is>
          <t>EA</t>
        </is>
      </c>
      <c r="I94" s="2" t="inlineStr">
        <is>
          <t>Aviat</t>
        </is>
      </c>
      <c r="J94" s="2" t="inlineStr">
        <is>
          <t>미국</t>
        </is>
      </c>
      <c r="K94" s="3" t="n">
        <v>6800000</v>
      </c>
      <c r="L94" s="3" t="n">
        <v>6596000</v>
      </c>
      <c r="M94" s="4">
        <f>K94-L94</f>
        <v/>
      </c>
      <c r="N94" s="5">
        <f>IF(K94=0,0,M94/K94)</f>
        <v/>
      </c>
      <c r="O94" s="3" t="n">
        <v>0</v>
      </c>
      <c r="P94" s="4">
        <f>O94*K94</f>
        <v/>
      </c>
      <c r="Q94" s="2" t="inlineStr">
        <is>
          <t>계약기간 만료에 따른 신규계약</t>
        </is>
      </c>
      <c r="R94" s="2" t="inlineStr">
        <is>
          <t>ㅇ 바코드 유무 : Y
ㅇ 구매속성 : IP구매
ㅇ 자재상태 : 0
ㅇ 검사속성 : 검사제외</t>
        </is>
      </c>
    </row>
    <row r="95">
      <c r="A95" s="2" t="n">
        <v>94</v>
      </c>
      <c r="B95" s="2" t="inlineStr">
        <is>
          <t>K9193441</t>
        </is>
      </c>
      <c r="C95" s="2" t="n"/>
      <c r="D95" s="2" t="inlineStr">
        <is>
          <t>10210398</t>
        </is>
      </c>
      <c r="E95" s="2" t="inlineStr">
        <is>
          <t>AVIAT_ANT-HP-DP-10FT-8</t>
        </is>
      </c>
      <c r="F95" s="2" t="inlineStr">
        <is>
          <t>K9193441</t>
        </is>
      </c>
      <c r="G95" s="2" t="inlineStr">
        <is>
          <t>듀얼/이중극성(V극성+H극성) 파라볼릭 안테나(Size: 10피트, 주파수 대역: 8GHz)</t>
        </is>
      </c>
      <c r="H95" s="2" t="inlineStr">
        <is>
          <t>EA</t>
        </is>
      </c>
      <c r="I95" s="2" t="inlineStr">
        <is>
          <t>Aviat</t>
        </is>
      </c>
      <c r="J95" s="2" t="inlineStr">
        <is>
          <t>미국</t>
        </is>
      </c>
      <c r="K95" s="3" t="n">
        <v>9100000</v>
      </c>
      <c r="L95" s="3" t="n">
        <v>8827000</v>
      </c>
      <c r="M95" s="4">
        <f>K95-L95</f>
        <v/>
      </c>
      <c r="N95" s="5">
        <f>IF(K95=0,0,M95/K95)</f>
        <v/>
      </c>
      <c r="O95" s="3" t="n">
        <v>1</v>
      </c>
      <c r="P95" s="4">
        <f>O95*K95</f>
        <v/>
      </c>
      <c r="Q95" s="2" t="inlineStr">
        <is>
          <t>계약기간 만료에 따른 신규계약</t>
        </is>
      </c>
      <c r="R95" s="2" t="inlineStr">
        <is>
          <t>ㅇ 바코드 유무 : Y
ㅇ 구매속성 : IP구매
ㅇ 자재상태 : 0
ㅇ 검사속성 : 검사제외</t>
        </is>
      </c>
    </row>
    <row r="96">
      <c r="A96" s="2" t="n">
        <v>95</v>
      </c>
      <c r="B96" s="2" t="inlineStr">
        <is>
          <t>K9193442</t>
        </is>
      </c>
      <c r="C96" s="2" t="n"/>
      <c r="D96" s="2" t="inlineStr">
        <is>
          <t>10210400</t>
        </is>
      </c>
      <c r="E96" s="2" t="inlineStr">
        <is>
          <t>AVIAT_ANT-HP-DP-10FT-11</t>
        </is>
      </c>
      <c r="F96" s="2" t="inlineStr">
        <is>
          <t>K9193442</t>
        </is>
      </c>
      <c r="G96" s="2" t="inlineStr">
        <is>
          <t>듀얼/이중극성(V극성+H극성) 파라볼릭 안테나(Size: 10피트, 주파수 대역: 11GHz)</t>
        </is>
      </c>
      <c r="H96" s="2" t="inlineStr">
        <is>
          <t>EA</t>
        </is>
      </c>
      <c r="I96" s="2" t="inlineStr">
        <is>
          <t>Aviat</t>
        </is>
      </c>
      <c r="J96" s="2" t="inlineStr">
        <is>
          <t>미국</t>
        </is>
      </c>
      <c r="K96" s="3" t="n">
        <v>9100000</v>
      </c>
      <c r="L96" s="3" t="n">
        <v>8827000</v>
      </c>
      <c r="M96" s="4">
        <f>K96-L96</f>
        <v/>
      </c>
      <c r="N96" s="5">
        <f>IF(K96=0,0,M96/K96)</f>
        <v/>
      </c>
      <c r="O96" s="3" t="n">
        <v>0</v>
      </c>
      <c r="P96" s="4">
        <f>O96*K96</f>
        <v/>
      </c>
      <c r="Q96" s="2" t="inlineStr">
        <is>
          <t>계약기간 만료에 따른 신규계약</t>
        </is>
      </c>
      <c r="R96" s="2" t="inlineStr">
        <is>
          <t>ㅇ 바코드 유무 : Y
ㅇ 구매속성 : IP구매
ㅇ 자재상태 : 0
ㅇ 검사속성 : 검사제외</t>
        </is>
      </c>
    </row>
    <row r="97">
      <c r="A97" s="2" t="n">
        <v>96</v>
      </c>
      <c r="B97" s="2" t="inlineStr">
        <is>
          <t>K9198293</t>
        </is>
      </c>
      <c r="C97" s="2" t="n"/>
      <c r="D97" s="2" t="inlineStr">
        <is>
          <t>10340514</t>
        </is>
      </c>
      <c r="E97" s="2" t="inlineStr">
        <is>
          <t>8GHz ODU600v2 Low band</t>
        </is>
      </c>
      <c r="F97" s="2" t="inlineStr">
        <is>
          <t>K9198293</t>
        </is>
      </c>
      <c r="G97" s="2" t="inlineStr">
        <is>
          <t>신형 8G 옥외 설치용 무선 송수신부 (Low Band)</t>
        </is>
      </c>
      <c r="H97" s="2" t="inlineStr">
        <is>
          <t>EA</t>
        </is>
      </c>
      <c r="I97" s="2" t="inlineStr">
        <is>
          <t>Aviat</t>
        </is>
      </c>
      <c r="J97" s="2" t="inlineStr">
        <is>
          <t>미국</t>
        </is>
      </c>
      <c r="K97" s="3" t="n">
        <v>3200000</v>
      </c>
      <c r="L97" s="3" t="n">
        <v>3040000</v>
      </c>
      <c r="M97" s="4">
        <f>K97-L97</f>
        <v/>
      </c>
      <c r="N97" s="5">
        <f>IF(K97=0,0,M97/K97)</f>
        <v/>
      </c>
      <c r="O97" s="3" t="n">
        <v>0</v>
      </c>
      <c r="P97" s="4">
        <f>O97*K97</f>
        <v/>
      </c>
      <c r="Q97" s="2" t="inlineStr">
        <is>
          <t>계약기간 만료에 따른 신규계약</t>
        </is>
      </c>
      <c r="R97" s="2" t="inlineStr">
        <is>
          <t>ㅇ 바코드 유무 : Y
ㅇ 구매속성 : IP구매
ㅇ 자재상태 : 0
ㅇ 검사속성 : 검사제외</t>
        </is>
      </c>
    </row>
    <row r="98">
      <c r="A98" s="2" t="n">
        <v>97</v>
      </c>
      <c r="B98" s="2" t="inlineStr">
        <is>
          <t>K9198316</t>
        </is>
      </c>
      <c r="C98" s="2" t="n"/>
      <c r="D98" s="2" t="inlineStr">
        <is>
          <t>10340536</t>
        </is>
      </c>
      <c r="E98" s="2" t="inlineStr">
        <is>
          <t>WTM 4200 Node License</t>
        </is>
      </c>
      <c r="F98" s="2" t="inlineStr">
        <is>
          <t>K9198316</t>
        </is>
      </c>
      <c r="G98" s="2" t="inlineStr">
        <is>
          <t>노드 라이선스</t>
        </is>
      </c>
      <c r="H98" s="2" t="inlineStr">
        <is>
          <t>EA</t>
        </is>
      </c>
      <c r="I98" s="2" t="inlineStr">
        <is>
          <t>Aviat</t>
        </is>
      </c>
      <c r="J98" s="2" t="inlineStr">
        <is>
          <t>미국</t>
        </is>
      </c>
      <c r="K98" s="3" t="n">
        <v>1500000</v>
      </c>
      <c r="L98" s="3" t="n">
        <v>1425000</v>
      </c>
      <c r="M98" s="4">
        <f>K98-L98</f>
        <v/>
      </c>
      <c r="N98" s="5">
        <f>IF(K98=0,0,M98/K98)</f>
        <v/>
      </c>
      <c r="O98" s="3" t="n">
        <v>0</v>
      </c>
      <c r="P98" s="4">
        <f>O98*K98</f>
        <v/>
      </c>
      <c r="Q98" s="2" t="inlineStr">
        <is>
          <t>계약기간 만료에 따른 신규계약</t>
        </is>
      </c>
      <c r="R98" s="2" t="inlineStr">
        <is>
          <t>ㅇ 바코드 유무 : Y
ㅇ 구매속성 : IP구매
ㅇ 자재상태 : 0
ㅇ 검사속성 : 검사제외</t>
        </is>
      </c>
    </row>
    <row r="99">
      <c r="A99" s="2" t="n">
        <v>98</v>
      </c>
      <c r="B99" s="2" t="inlineStr">
        <is>
          <t>K9198322</t>
        </is>
      </c>
      <c r="C99" s="2" t="n"/>
      <c r="D99" s="2" t="inlineStr">
        <is>
          <t>10340550</t>
        </is>
      </c>
      <c r="E99" s="2" t="inlineStr">
        <is>
          <t>8GHz ODU600v2 High band</t>
        </is>
      </c>
      <c r="F99" s="2" t="inlineStr">
        <is>
          <t>K9198322</t>
        </is>
      </c>
      <c r="G99" s="2" t="inlineStr">
        <is>
          <t>신형 8G 옥외 설치용 무선 송수신부 (High Band)</t>
        </is>
      </c>
      <c r="H99" s="2" t="inlineStr">
        <is>
          <t>EA</t>
        </is>
      </c>
      <c r="I99" s="2" t="inlineStr">
        <is>
          <t>Aviat</t>
        </is>
      </c>
      <c r="J99" s="2" t="inlineStr">
        <is>
          <t>미국</t>
        </is>
      </c>
      <c r="K99" s="3" t="n">
        <v>3200000</v>
      </c>
      <c r="L99" s="3" t="n">
        <v>3040000</v>
      </c>
      <c r="M99" s="4">
        <f>K99-L99</f>
        <v/>
      </c>
      <c r="N99" s="5">
        <f>IF(K99=0,0,M99/K99)</f>
        <v/>
      </c>
      <c r="O99" s="3" t="n">
        <v>0</v>
      </c>
      <c r="P99" s="4">
        <f>O99*K99</f>
        <v/>
      </c>
      <c r="Q99" s="2" t="inlineStr">
        <is>
          <t>계약기간 만료에 따른 신규계약</t>
        </is>
      </c>
      <c r="R99" s="2" t="inlineStr">
        <is>
          <t>ㅇ 바코드 유무 : Y
ㅇ 구매속성 : IP구매
ㅇ 자재상태 : 0
ㅇ 검사속성 : 검사제외</t>
        </is>
      </c>
    </row>
    <row r="100">
      <c r="A100" s="2" t="n">
        <v>99</v>
      </c>
      <c r="B100" s="2" t="inlineStr">
        <is>
          <t>K9198323</t>
        </is>
      </c>
      <c r="C100" s="2" t="n"/>
      <c r="D100" s="2" t="inlineStr">
        <is>
          <t>10340552</t>
        </is>
      </c>
      <c r="E100" s="2" t="inlineStr">
        <is>
          <t>11GHz ODU600v2 Low band</t>
        </is>
      </c>
      <c r="F100" s="2" t="inlineStr">
        <is>
          <t>K9198323</t>
        </is>
      </c>
      <c r="G100" s="2" t="inlineStr">
        <is>
          <t>신형 11G 옥외 설치용 무선 송수신부 (Low Band)</t>
        </is>
      </c>
      <c r="H100" s="2" t="inlineStr">
        <is>
          <t>EA</t>
        </is>
      </c>
      <c r="I100" s="2" t="inlineStr">
        <is>
          <t>Aviat</t>
        </is>
      </c>
      <c r="J100" s="2" t="inlineStr">
        <is>
          <t>미국</t>
        </is>
      </c>
      <c r="K100" s="3" t="n">
        <v>3200000</v>
      </c>
      <c r="L100" s="3" t="n">
        <v>3040000</v>
      </c>
      <c r="M100" s="4">
        <f>K100-L100</f>
        <v/>
      </c>
      <c r="N100" s="5">
        <f>IF(K100=0,0,M100/K100)</f>
        <v/>
      </c>
      <c r="O100" s="3" t="n">
        <v>0</v>
      </c>
      <c r="P100" s="4">
        <f>O100*K100</f>
        <v/>
      </c>
      <c r="Q100" s="2" t="inlineStr">
        <is>
          <t>계약기간 만료에 따른 신규계약</t>
        </is>
      </c>
      <c r="R100" s="2" t="inlineStr">
        <is>
          <t>ㅇ 바코드 유무 : Y
ㅇ 구매속성 : IP구매
ㅇ 자재상태 : 0
ㅇ 검사속성 : 검사제외</t>
        </is>
      </c>
    </row>
    <row r="101">
      <c r="A101" s="2" t="n">
        <v>100</v>
      </c>
      <c r="B101" s="2" t="inlineStr">
        <is>
          <t>K9198324</t>
        </is>
      </c>
      <c r="C101" s="2" t="n"/>
      <c r="D101" s="2" t="inlineStr">
        <is>
          <t>10340554</t>
        </is>
      </c>
      <c r="E101" s="2" t="inlineStr">
        <is>
          <t>11GHz ODU600v2 High band</t>
        </is>
      </c>
      <c r="F101" s="2" t="inlineStr">
        <is>
          <t>K9198324</t>
        </is>
      </c>
      <c r="G101" s="2" t="inlineStr">
        <is>
          <t>신형 11G 옥외 설치용 무선 송수신부 (High Band)</t>
        </is>
      </c>
      <c r="H101" s="2" t="inlineStr">
        <is>
          <t>EA</t>
        </is>
      </c>
      <c r="I101" s="2" t="inlineStr">
        <is>
          <t>Aviat</t>
        </is>
      </c>
      <c r="J101" s="2" t="inlineStr">
        <is>
          <t>미국</t>
        </is>
      </c>
      <c r="K101" s="3" t="n">
        <v>3200000</v>
      </c>
      <c r="L101" s="3" t="n">
        <v>3040000</v>
      </c>
      <c r="M101" s="4">
        <f>K101-L101</f>
        <v/>
      </c>
      <c r="N101" s="5">
        <f>IF(K101=0,0,M101/K101)</f>
        <v/>
      </c>
      <c r="O101" s="3" t="n">
        <v>0</v>
      </c>
      <c r="P101" s="4">
        <f>O101*K101</f>
        <v/>
      </c>
      <c r="Q101" s="2" t="inlineStr">
        <is>
          <t>계약기간 만료에 따른 신규계약</t>
        </is>
      </c>
      <c r="R101" s="2" t="inlineStr">
        <is>
          <t>ㅇ 바코드 유무 : Y
ㅇ 구매속성 : IP구매
ㅇ 자재상태 : 0
ㅇ 검사속성 : 검사제외</t>
        </is>
      </c>
    </row>
    <row r="102">
      <c r="A102" s="2" t="n">
        <v>101</v>
      </c>
      <c r="B102" s="2" t="inlineStr">
        <is>
          <t>K9198325</t>
        </is>
      </c>
      <c r="C102" s="2" t="n"/>
      <c r="D102" s="2" t="inlineStr">
        <is>
          <t>10340556</t>
        </is>
      </c>
      <c r="E102" s="2" t="inlineStr">
        <is>
          <t>8GHz WTM 4200 Low band</t>
        </is>
      </c>
      <c r="F102" s="2" t="inlineStr">
        <is>
          <t>K9198325</t>
        </is>
      </c>
      <c r="G102" s="2" t="inlineStr">
        <is>
          <t>IDU+ODU 통합형(일체형) Dual Tranceiver (2*RF) All Outdoor System, 8G Low Band</t>
        </is>
      </c>
      <c r="H102" s="2" t="inlineStr">
        <is>
          <t>EA</t>
        </is>
      </c>
      <c r="I102" s="2" t="inlineStr">
        <is>
          <t>Aviat</t>
        </is>
      </c>
      <c r="J102" s="2" t="inlineStr">
        <is>
          <t>미국</t>
        </is>
      </c>
      <c r="K102" s="3" t="n">
        <v>7900000</v>
      </c>
      <c r="L102" s="3" t="n">
        <v>7505000</v>
      </c>
      <c r="M102" s="4">
        <f>K102-L102</f>
        <v/>
      </c>
      <c r="N102" s="5">
        <f>IF(K102=0,0,M102/K102)</f>
        <v/>
      </c>
      <c r="O102" s="3" t="n">
        <v>0</v>
      </c>
      <c r="P102" s="4">
        <f>O102*K102</f>
        <v/>
      </c>
      <c r="Q102" s="2" t="inlineStr">
        <is>
          <t>계약기간 만료에 따른 신규계약</t>
        </is>
      </c>
      <c r="R102" s="2" t="inlineStr">
        <is>
          <t>ㅇ 바코드 유무 : Y
ㅇ 구매속성 : IP구매
ㅇ 자재상태 : 0
ㅇ 검사속성 : 검사제외</t>
        </is>
      </c>
    </row>
    <row r="103">
      <c r="A103" s="2" t="n">
        <v>102</v>
      </c>
      <c r="B103" s="2" t="inlineStr">
        <is>
          <t>K9198326</t>
        </is>
      </c>
      <c r="C103" s="2" t="n"/>
      <c r="D103" s="2" t="inlineStr">
        <is>
          <t>10340558</t>
        </is>
      </c>
      <c r="E103" s="2" t="inlineStr">
        <is>
          <t>8GHz WTM 4200 High band</t>
        </is>
      </c>
      <c r="F103" s="2" t="inlineStr">
        <is>
          <t>K9198326</t>
        </is>
      </c>
      <c r="G103" s="2" t="inlineStr">
        <is>
          <t>IDU+ODU 통합형(일체형) Dual Tranceiver (2*RF) All Outdoor System, 8G High Band</t>
        </is>
      </c>
      <c r="H103" s="2" t="inlineStr">
        <is>
          <t>EA</t>
        </is>
      </c>
      <c r="I103" s="2" t="inlineStr">
        <is>
          <t>Aviat</t>
        </is>
      </c>
      <c r="J103" s="2" t="inlineStr">
        <is>
          <t>미국</t>
        </is>
      </c>
      <c r="K103" s="3" t="n">
        <v>7900000</v>
      </c>
      <c r="L103" s="3" t="n">
        <v>7505000</v>
      </c>
      <c r="M103" s="4">
        <f>K103-L103</f>
        <v/>
      </c>
      <c r="N103" s="5">
        <f>IF(K103=0,0,M103/K103)</f>
        <v/>
      </c>
      <c r="O103" s="3" t="n">
        <v>0</v>
      </c>
      <c r="P103" s="4">
        <f>O103*K103</f>
        <v/>
      </c>
      <c r="Q103" s="2" t="inlineStr">
        <is>
          <t>계약기간 만료에 따른 신규계약</t>
        </is>
      </c>
      <c r="R103" s="2" t="inlineStr">
        <is>
          <t>ㅇ 바코드 유무 : Y
ㅇ 구매속성 : IP구매
ㅇ 자재상태 : 0
ㅇ 검사속성 : 검사제외</t>
        </is>
      </c>
    </row>
    <row r="104">
      <c r="A104" s="2" t="n">
        <v>103</v>
      </c>
      <c r="B104" s="2" t="inlineStr">
        <is>
          <t>K9198327</t>
        </is>
      </c>
      <c r="C104" s="2" t="n"/>
      <c r="D104" s="2" t="inlineStr">
        <is>
          <t>10340560</t>
        </is>
      </c>
      <c r="E104" s="2" t="inlineStr">
        <is>
          <t>11GHz WTM 4200 Low band</t>
        </is>
      </c>
      <c r="F104" s="2" t="inlineStr">
        <is>
          <t>K9198327</t>
        </is>
      </c>
      <c r="G104" s="2" t="inlineStr">
        <is>
          <t>IDU+ODU 통합형(일체형) Dual Tranceiver (2*RF) All Outdoor System, 11G Low Band</t>
        </is>
      </c>
      <c r="H104" s="2" t="inlineStr">
        <is>
          <t>EA</t>
        </is>
      </c>
      <c r="I104" s="2" t="inlineStr">
        <is>
          <t>Aviat</t>
        </is>
      </c>
      <c r="J104" s="2" t="inlineStr">
        <is>
          <t>미국</t>
        </is>
      </c>
      <c r="K104" s="3" t="n">
        <v>7900000</v>
      </c>
      <c r="L104" s="3" t="n">
        <v>7505000</v>
      </c>
      <c r="M104" s="4">
        <f>K104-L104</f>
        <v/>
      </c>
      <c r="N104" s="5">
        <f>IF(K104=0,0,M104/K104)</f>
        <v/>
      </c>
      <c r="O104" s="3" t="n">
        <v>0</v>
      </c>
      <c r="P104" s="4">
        <f>O104*K104</f>
        <v/>
      </c>
      <c r="Q104" s="2" t="inlineStr">
        <is>
          <t>계약기간 만료에 따른 신규계약</t>
        </is>
      </c>
      <c r="R104" s="2" t="inlineStr">
        <is>
          <t>ㅇ 바코드 유무 : Y
ㅇ 구매속성 : IP구매
ㅇ 자재상태 : 0
ㅇ 검사속성 : 검사제외</t>
        </is>
      </c>
    </row>
    <row r="105">
      <c r="A105" s="2" t="n">
        <v>104</v>
      </c>
      <c r="B105" s="2" t="inlineStr">
        <is>
          <t>K9198328</t>
        </is>
      </c>
      <c r="C105" s="2" t="n"/>
      <c r="D105" s="2" t="inlineStr">
        <is>
          <t>10340562</t>
        </is>
      </c>
      <c r="E105" s="2" t="inlineStr">
        <is>
          <t>Gigabit Ethernet SFP_Industrial_-40~+85℃_실외형</t>
        </is>
      </c>
      <c r="F105" s="2" t="inlineStr">
        <is>
          <t>K9198328</t>
        </is>
      </c>
      <c r="G105" s="2" t="inlineStr">
        <is>
          <t>옥외 Outdoor용 Optic Gbit Module</t>
        </is>
      </c>
      <c r="H105" s="2" t="inlineStr">
        <is>
          <t>EA</t>
        </is>
      </c>
      <c r="I105" s="2" t="inlineStr">
        <is>
          <t>Aviat</t>
        </is>
      </c>
      <c r="J105" s="2" t="inlineStr">
        <is>
          <t>미국</t>
        </is>
      </c>
      <c r="K105" s="3" t="n">
        <v>130000</v>
      </c>
      <c r="L105" s="3" t="n">
        <v>123500</v>
      </c>
      <c r="M105" s="4">
        <f>K105-L105</f>
        <v/>
      </c>
      <c r="N105" s="5">
        <f>IF(K105=0,0,M105/K105)</f>
        <v/>
      </c>
      <c r="O105" s="6" t="n">
        <v>20</v>
      </c>
      <c r="P105" s="4">
        <f>O105*K105</f>
        <v/>
      </c>
      <c r="Q105" s="2" t="inlineStr">
        <is>
          <t>계약기간 만료에 따른 신규계약</t>
        </is>
      </c>
      <c r="R105" s="2" t="inlineStr">
        <is>
          <t>ㅇ 바코드 유무 : Y
ㅇ 구매속성 : IP구매
ㅇ 자재상태 : 0
ㅇ 검사속성 : 검사제외</t>
        </is>
      </c>
    </row>
    <row r="106">
      <c r="A106" s="2" t="n">
        <v>105</v>
      </c>
      <c r="B106" s="2" t="inlineStr">
        <is>
          <t>K9198330</t>
        </is>
      </c>
      <c r="C106" s="2" t="n"/>
      <c r="D106" s="2" t="inlineStr">
        <is>
          <t>10340516</t>
        </is>
      </c>
      <c r="E106" s="2" t="inlineStr">
        <is>
          <t>Remote Mount Bracket Assembly for ODU600v2</t>
        </is>
      </c>
      <c r="F106" s="2" t="inlineStr">
        <is>
          <t>K9198330</t>
        </is>
      </c>
      <c r="G106" s="2" t="inlineStr">
        <is>
          <t>신형 ODU 철탑 고정용 KIT</t>
        </is>
      </c>
      <c r="H106" s="2" t="inlineStr">
        <is>
          <t>EA</t>
        </is>
      </c>
      <c r="I106" s="2" t="inlineStr">
        <is>
          <t>Aviat</t>
        </is>
      </c>
      <c r="J106" s="2" t="inlineStr">
        <is>
          <t>미국</t>
        </is>
      </c>
      <c r="K106" s="3" t="n">
        <v>250000</v>
      </c>
      <c r="L106" s="3" t="n">
        <v>237500</v>
      </c>
      <c r="M106" s="4">
        <f>K106-L106</f>
        <v/>
      </c>
      <c r="N106" s="5">
        <f>IF(K106=0,0,M106/K106)</f>
        <v/>
      </c>
      <c r="O106" s="6" t="n">
        <v>7</v>
      </c>
      <c r="P106" s="4">
        <f>O106*K106</f>
        <v/>
      </c>
      <c r="Q106" s="2" t="inlineStr">
        <is>
          <t>계약기간 만료에 따른 신규계약</t>
        </is>
      </c>
      <c r="R106" s="2" t="inlineStr">
        <is>
          <t>ㅇ 바코드 유무 : Y
ㅇ 구매속성 : IP구매
ㅇ 자재상태 : 0
ㅇ 검사속성 : 검사제외</t>
        </is>
      </c>
    </row>
    <row r="107">
      <c r="A107" s="2" t="n">
        <v>106</v>
      </c>
      <c r="B107" s="2" t="inlineStr">
        <is>
          <t>K9198331</t>
        </is>
      </c>
      <c r="C107" s="2" t="n"/>
      <c r="D107" s="2" t="inlineStr">
        <is>
          <t>10340518</t>
        </is>
      </c>
      <c r="E107" s="2" t="inlineStr">
        <is>
          <t>GROUNDING KIT for WTM 4200, 3M</t>
        </is>
      </c>
      <c r="F107" s="2" t="inlineStr">
        <is>
          <t>K9198331</t>
        </is>
      </c>
      <c r="G107" s="2" t="inlineStr">
        <is>
          <t>철탑 접지용 Ground Cable</t>
        </is>
      </c>
      <c r="H107" s="2" t="inlineStr">
        <is>
          <t>EA</t>
        </is>
      </c>
      <c r="I107" s="2" t="inlineStr">
        <is>
          <t>Aviat</t>
        </is>
      </c>
      <c r="J107" s="2" t="inlineStr">
        <is>
          <t>미국</t>
        </is>
      </c>
      <c r="K107" s="3" t="n">
        <v>30000</v>
      </c>
      <c r="L107" s="3" t="n">
        <v>28500</v>
      </c>
      <c r="M107" s="4">
        <f>K107-L107</f>
        <v/>
      </c>
      <c r="N107" s="5">
        <f>IF(K107=0,0,M107/K107)</f>
        <v/>
      </c>
      <c r="O107" s="3" t="n">
        <v>0</v>
      </c>
      <c r="P107" s="4">
        <f>O107*K107</f>
        <v/>
      </c>
      <c r="Q107" s="2" t="inlineStr">
        <is>
          <t>계약기간 만료에 따른 신규계약</t>
        </is>
      </c>
      <c r="R107" s="2" t="inlineStr">
        <is>
          <t>ㅇ 바코드 유무 : Y
ㅇ 구매속성 : IP구매
ㅇ 자재상태 : 0
ㅇ 검사속성 : 검사제외</t>
        </is>
      </c>
    </row>
    <row r="108">
      <c r="A108" s="2" t="n">
        <v>107</v>
      </c>
      <c r="B108" s="2" t="inlineStr">
        <is>
          <t>K9198336</t>
        </is>
      </c>
      <c r="C108" s="2" t="n"/>
      <c r="D108" s="2" t="inlineStr">
        <is>
          <t>10340520</t>
        </is>
      </c>
      <c r="E108" s="2" t="inlineStr">
        <is>
          <t>11GHz WTM 4200 High band</t>
        </is>
      </c>
      <c r="F108" s="2" t="inlineStr">
        <is>
          <t>K9198336</t>
        </is>
      </c>
      <c r="G108" s="2" t="inlineStr">
        <is>
          <t>IDU+ODU 통합형(일체형) Dual Tranceiver (2*RF) All Outdoor System, 11G High Band</t>
        </is>
      </c>
      <c r="H108" s="2" t="inlineStr">
        <is>
          <t>EA</t>
        </is>
      </c>
      <c r="I108" s="2" t="inlineStr">
        <is>
          <t>Aviat</t>
        </is>
      </c>
      <c r="J108" s="2" t="inlineStr">
        <is>
          <t>미국</t>
        </is>
      </c>
      <c r="K108" s="3" t="n">
        <v>7900000</v>
      </c>
      <c r="L108" s="3" t="n">
        <v>7505000</v>
      </c>
      <c r="M108" s="4">
        <f>K108-L108</f>
        <v/>
      </c>
      <c r="N108" s="5">
        <f>IF(K108=0,0,M108/K108)</f>
        <v/>
      </c>
      <c r="O108" s="3" t="n">
        <v>0</v>
      </c>
      <c r="P108" s="4">
        <f>O108*K108</f>
        <v/>
      </c>
      <c r="Q108" s="2" t="inlineStr">
        <is>
          <t>계약기간 만료에 따른 신규계약</t>
        </is>
      </c>
      <c r="R108" s="2" t="inlineStr">
        <is>
          <t>ㅇ 바코드 유무 : Y
ㅇ 구매속성 : IP구매
ㅇ 자재상태 : 0
ㅇ 검사속성 : 검사제외</t>
        </is>
      </c>
    </row>
    <row r="109">
      <c r="A109" s="2" t="n">
        <v>108</v>
      </c>
      <c r="B109" s="2" t="inlineStr">
        <is>
          <t>K9198337</t>
        </is>
      </c>
      <c r="C109" s="2" t="n"/>
      <c r="D109" s="2" t="inlineStr">
        <is>
          <t>10340522</t>
        </is>
      </c>
      <c r="E109" s="2" t="inlineStr">
        <is>
          <t>8G용 Coupler KIT for ODU 600v2</t>
        </is>
      </c>
      <c r="F109" s="2" t="inlineStr">
        <is>
          <t>K9198337</t>
        </is>
      </c>
      <c r="G109" s="2" t="inlineStr">
        <is>
          <t>신형 8G 커플러</t>
        </is>
      </c>
      <c r="H109" s="2" t="inlineStr">
        <is>
          <t>EA</t>
        </is>
      </c>
      <c r="I109" s="2" t="inlineStr">
        <is>
          <t>Aviat</t>
        </is>
      </c>
      <c r="J109" s="2" t="inlineStr">
        <is>
          <t>미국</t>
        </is>
      </c>
      <c r="K109" s="3" t="n">
        <v>650000</v>
      </c>
      <c r="L109" s="3" t="n">
        <v>617500</v>
      </c>
      <c r="M109" s="4">
        <f>K109-L109</f>
        <v/>
      </c>
      <c r="N109" s="5">
        <f>IF(K109=0,0,M109/K109)</f>
        <v/>
      </c>
      <c r="O109" s="3" t="n">
        <v>0</v>
      </c>
      <c r="P109" s="4">
        <f>O109*K109</f>
        <v/>
      </c>
      <c r="Q109" s="2" t="inlineStr">
        <is>
          <t>계약기간 만료에 따른 신규계약</t>
        </is>
      </c>
      <c r="R109" s="2" t="inlineStr">
        <is>
          <t>ㅇ 바코드 유무 : Y
ㅇ 구매속성 : IP구매
ㅇ 자재상태 : 0
ㅇ 검사속성 : 검사제외</t>
        </is>
      </c>
    </row>
    <row r="110">
      <c r="A110" s="2" t="n">
        <v>109</v>
      </c>
      <c r="B110" s="2" t="inlineStr">
        <is>
          <t>K9198338</t>
        </is>
      </c>
      <c r="C110" s="2" t="n"/>
      <c r="D110" s="2" t="inlineStr">
        <is>
          <t>10340524</t>
        </is>
      </c>
      <c r="E110" s="2" t="inlineStr">
        <is>
          <t>11G용 Coupler KIT for ODU 600v2</t>
        </is>
      </c>
      <c r="F110" s="2" t="inlineStr">
        <is>
          <t>K9198338</t>
        </is>
      </c>
      <c r="G110" s="2" t="inlineStr">
        <is>
          <t>신형 11G 커플러</t>
        </is>
      </c>
      <c r="H110" s="2" t="inlineStr">
        <is>
          <t>EA</t>
        </is>
      </c>
      <c r="I110" s="2" t="inlineStr">
        <is>
          <t>Aviat</t>
        </is>
      </c>
      <c r="J110" s="2" t="inlineStr">
        <is>
          <t>미국</t>
        </is>
      </c>
      <c r="K110" s="3" t="n">
        <v>850000</v>
      </c>
      <c r="L110" s="3" t="n">
        <v>807500</v>
      </c>
      <c r="M110" s="4">
        <f>K110-L110</f>
        <v/>
      </c>
      <c r="N110" s="5">
        <f>IF(K110=0,0,M110/K110)</f>
        <v/>
      </c>
      <c r="O110" s="3" t="n">
        <v>0</v>
      </c>
      <c r="P110" s="4">
        <f>O110*K110</f>
        <v/>
      </c>
      <c r="Q110" s="2" t="inlineStr">
        <is>
          <t>계약기간 만료에 따른 신규계약</t>
        </is>
      </c>
      <c r="R110" s="2" t="inlineStr">
        <is>
          <t>ㅇ 바코드 유무 : Y
ㅇ 구매속성 : IP구매
ㅇ 자재상태 : 0
ㅇ 검사속성 : 검사제외</t>
        </is>
      </c>
    </row>
    <row r="111">
      <c r="A111" s="2" t="n">
        <v>110</v>
      </c>
      <c r="B111" s="2" t="inlineStr">
        <is>
          <t>K9198339</t>
        </is>
      </c>
      <c r="C111" s="2" t="n"/>
      <c r="D111" s="2" t="inlineStr">
        <is>
          <t>10340526</t>
        </is>
      </c>
      <c r="E111" s="2" t="inlineStr">
        <is>
          <t>Remote Mount Bracket Assembly for WTM4200</t>
        </is>
      </c>
      <c r="F111" s="2" t="inlineStr">
        <is>
          <t>K9198339</t>
        </is>
      </c>
      <c r="G111" s="2" t="inlineStr">
        <is>
          <t>신형 WTM 4000 철탑 고정용 KIT</t>
        </is>
      </c>
      <c r="H111" s="2" t="inlineStr">
        <is>
          <t>EA</t>
        </is>
      </c>
      <c r="I111" s="2" t="inlineStr">
        <is>
          <t>Aviat</t>
        </is>
      </c>
      <c r="J111" s="2" t="inlineStr">
        <is>
          <t>미국</t>
        </is>
      </c>
      <c r="K111" s="3" t="n">
        <v>250000</v>
      </c>
      <c r="L111" s="3" t="n">
        <v>237500</v>
      </c>
      <c r="M111" s="4">
        <f>K111-L111</f>
        <v/>
      </c>
      <c r="N111" s="5">
        <f>IF(K111=0,0,M111/K111)</f>
        <v/>
      </c>
      <c r="O111" s="3" t="n">
        <v>0</v>
      </c>
      <c r="P111" s="4">
        <f>O111*K111</f>
        <v/>
      </c>
      <c r="Q111" s="2" t="inlineStr">
        <is>
          <t>계약기간 만료에 따른 신규계약</t>
        </is>
      </c>
      <c r="R111" s="2" t="inlineStr">
        <is>
          <t>ㅇ 바코드 유무 : Y
ㅇ 구매속성 : IP구매
ㅇ 자재상태 : 0
ㅇ 검사속성 : 검사제외</t>
        </is>
      </c>
    </row>
    <row r="112">
      <c r="A112" s="2" t="n">
        <v>111</v>
      </c>
      <c r="B112" s="2" t="inlineStr">
        <is>
          <t>K9198340</t>
        </is>
      </c>
      <c r="C112" s="2" t="n"/>
      <c r="D112" s="2" t="inlineStr">
        <is>
          <t>10340528</t>
        </is>
      </c>
      <c r="E112" s="2" t="inlineStr">
        <is>
          <t>WTM 4200 ODU600v2 8 GHz Waveguide Transition Kit</t>
        </is>
      </c>
      <c r="F112" s="2" t="inlineStr">
        <is>
          <t>K9198340</t>
        </is>
      </c>
      <c r="G112" s="2" t="inlineStr">
        <is>
          <t>후렉시블 연결용 아답터</t>
        </is>
      </c>
      <c r="H112" s="2" t="inlineStr">
        <is>
          <t>EA</t>
        </is>
      </c>
      <c r="I112" s="2" t="inlineStr">
        <is>
          <t>Aviat</t>
        </is>
      </c>
      <c r="J112" s="2" t="inlineStr">
        <is>
          <t>미국</t>
        </is>
      </c>
      <c r="K112" s="3" t="n">
        <v>120000</v>
      </c>
      <c r="L112" s="3" t="n">
        <v>114000</v>
      </c>
      <c r="M112" s="4">
        <f>K112-L112</f>
        <v/>
      </c>
      <c r="N112" s="5">
        <f>IF(K112=0,0,M112/K112)</f>
        <v/>
      </c>
      <c r="O112" s="3" t="n">
        <v>0</v>
      </c>
      <c r="P112" s="4">
        <f>O112*K112</f>
        <v/>
      </c>
      <c r="Q112" s="2" t="inlineStr">
        <is>
          <t>계약기간 만료에 따른 신규계약</t>
        </is>
      </c>
      <c r="R112" s="2" t="inlineStr">
        <is>
          <t>ㅇ 바코드 유무 : Y
ㅇ 구매속성 : IP구매
ㅇ 자재상태 : 0
ㅇ 검사속성 : 검사제외</t>
        </is>
      </c>
    </row>
    <row r="113">
      <c r="A113" s="2" t="n">
        <v>112</v>
      </c>
      <c r="B113" s="2" t="inlineStr">
        <is>
          <t>K9198341</t>
        </is>
      </c>
      <c r="C113" s="2" t="n"/>
      <c r="D113" s="2" t="inlineStr">
        <is>
          <t>10340530</t>
        </is>
      </c>
      <c r="E113" s="2" t="inlineStr">
        <is>
          <t>WTM 4200 ODU600v2 11 GHz Waveguide Transition Kit</t>
        </is>
      </c>
      <c r="F113" s="2" t="inlineStr">
        <is>
          <t>K9198341</t>
        </is>
      </c>
      <c r="G113" s="2" t="inlineStr">
        <is>
          <t>후렉시블 연결용 아답터</t>
        </is>
      </c>
      <c r="H113" s="2" t="inlineStr">
        <is>
          <t>EA</t>
        </is>
      </c>
      <c r="I113" s="2" t="inlineStr">
        <is>
          <t>Aviat</t>
        </is>
      </c>
      <c r="J113" s="2" t="inlineStr">
        <is>
          <t>미국</t>
        </is>
      </c>
      <c r="K113" s="3" t="n">
        <v>120000</v>
      </c>
      <c r="L113" s="3" t="n">
        <v>114000</v>
      </c>
      <c r="M113" s="4">
        <f>K113-L113</f>
        <v/>
      </c>
      <c r="N113" s="5">
        <f>IF(K113=0,0,M113/K113)</f>
        <v/>
      </c>
      <c r="O113" s="3" t="n">
        <v>0</v>
      </c>
      <c r="P113" s="4">
        <f>O113*K113</f>
        <v/>
      </c>
      <c r="Q113" s="2" t="inlineStr">
        <is>
          <t>계약기간 만료에 따른 신규계약</t>
        </is>
      </c>
      <c r="R113" s="2" t="inlineStr">
        <is>
          <t>ㅇ 바코드 유무 : Y
ㅇ 구매속성 : IP구매
ㅇ 자재상태 : 0
ㅇ 검사속성 : 검사제외</t>
        </is>
      </c>
    </row>
    <row r="114">
      <c r="A114" s="2" t="n">
        <v>113</v>
      </c>
      <c r="B114" s="2" t="inlineStr">
        <is>
          <t>K9198342</t>
        </is>
      </c>
      <c r="C114" s="2" t="n"/>
      <c r="D114" s="2" t="inlineStr">
        <is>
          <t>10340532</t>
        </is>
      </c>
      <c r="E114" s="2" t="inlineStr">
        <is>
          <t>WTM4200 PWR CABLE 100M</t>
        </is>
      </c>
      <c r="F114" s="2" t="inlineStr">
        <is>
          <t>K9198342</t>
        </is>
      </c>
      <c r="G114" s="2" t="inlineStr">
        <is>
          <t>전원 케이블</t>
        </is>
      </c>
      <c r="H114" s="2" t="inlineStr">
        <is>
          <t>EA</t>
        </is>
      </c>
      <c r="I114" s="2" t="inlineStr">
        <is>
          <t>Aviat</t>
        </is>
      </c>
      <c r="J114" s="2" t="inlineStr">
        <is>
          <t>미국</t>
        </is>
      </c>
      <c r="K114" s="3" t="n">
        <v>300000</v>
      </c>
      <c r="L114" s="3" t="n">
        <v>285000</v>
      </c>
      <c r="M114" s="4">
        <f>K114-L114</f>
        <v/>
      </c>
      <c r="N114" s="5">
        <f>IF(K114=0,0,M114/K114)</f>
        <v/>
      </c>
      <c r="O114" s="3" t="n">
        <v>0</v>
      </c>
      <c r="P114" s="4">
        <f>O114*K114</f>
        <v/>
      </c>
      <c r="Q114" s="2" t="inlineStr">
        <is>
          <t>계약기간 만료에 따른 신규계약</t>
        </is>
      </c>
      <c r="R114" s="2" t="inlineStr">
        <is>
          <t>ㅇ 바코드 유무 : Y
ㅇ 구매속성 : IP구매
ㅇ 자재상태 : 0
ㅇ 검사속성 : 검사제외</t>
        </is>
      </c>
    </row>
    <row r="115">
      <c r="A115" s="2" t="n">
        <v>114</v>
      </c>
      <c r="B115" s="2" t="inlineStr">
        <is>
          <t>K9198343</t>
        </is>
      </c>
      <c r="C115" s="2" t="n"/>
      <c r="D115" s="2" t="inlineStr">
        <is>
          <t>10340534</t>
        </is>
      </c>
      <c r="E115" s="2" t="inlineStr">
        <is>
          <t>WTM4200 CABLE GLAND</t>
        </is>
      </c>
      <c r="F115" s="2" t="inlineStr">
        <is>
          <t>K9198343</t>
        </is>
      </c>
      <c r="G115" s="2" t="inlineStr">
        <is>
          <t>외부 신호 연결용 방수처리 방말형 접속 Cover</t>
        </is>
      </c>
      <c r="H115" s="2" t="inlineStr">
        <is>
          <t>EA</t>
        </is>
      </c>
      <c r="I115" s="2" t="inlineStr">
        <is>
          <t>Aviat</t>
        </is>
      </c>
      <c r="J115" s="2" t="inlineStr">
        <is>
          <t>미국</t>
        </is>
      </c>
      <c r="K115" s="3" t="n">
        <v>30000</v>
      </c>
      <c r="L115" s="3" t="n">
        <v>28500</v>
      </c>
      <c r="M115" s="4">
        <f>K115-L115</f>
        <v/>
      </c>
      <c r="N115" s="5">
        <f>IF(K115=0,0,M115/K115)</f>
        <v/>
      </c>
      <c r="O115" s="3" t="n">
        <v>0</v>
      </c>
      <c r="P115" s="4">
        <f>O115*K115</f>
        <v/>
      </c>
      <c r="Q115" s="2" t="inlineStr">
        <is>
          <t>계약기간 만료에 따른 신규계약</t>
        </is>
      </c>
      <c r="R115" s="2" t="inlineStr">
        <is>
          <t>ㅇ 바코드 유무 : Y
ㅇ 구매속성 : IP구매
ㅇ 자재상태 : 0
ㅇ 검사속성 : 검사제외</t>
        </is>
      </c>
    </row>
    <row r="116">
      <c r="A116" s="2" t="n">
        <v>115</v>
      </c>
      <c r="B116" s="2" t="inlineStr">
        <is>
          <t>K9198344</t>
        </is>
      </c>
      <c r="C116" s="2" t="n"/>
      <c r="D116" s="2" t="inlineStr">
        <is>
          <t>10340538</t>
        </is>
      </c>
      <c r="E116" s="2" t="inlineStr">
        <is>
          <t>POE INJECTOR, 112W 40 to 72VDC</t>
        </is>
      </c>
      <c r="F116" s="2" t="inlineStr">
        <is>
          <t>K9198344</t>
        </is>
      </c>
      <c r="G116" s="2" t="inlineStr">
        <is>
          <t>전원 및 데이터 연결용 PoE Injector(입력전원 DC)</t>
        </is>
      </c>
      <c r="H116" s="2" t="inlineStr">
        <is>
          <t>EA</t>
        </is>
      </c>
      <c r="I116" s="2" t="inlineStr">
        <is>
          <t>Aviat</t>
        </is>
      </c>
      <c r="J116" s="2" t="inlineStr">
        <is>
          <t>미국</t>
        </is>
      </c>
      <c r="K116" s="3" t="n">
        <v>450000</v>
      </c>
      <c r="L116" s="3" t="n">
        <v>427500</v>
      </c>
      <c r="M116" s="4">
        <f>K116-L116</f>
        <v/>
      </c>
      <c r="N116" s="5">
        <f>IF(K116=0,0,M116/K116)</f>
        <v/>
      </c>
      <c r="O116" s="3" t="n">
        <v>0</v>
      </c>
      <c r="P116" s="4">
        <f>O116*K116</f>
        <v/>
      </c>
      <c r="Q116" s="2" t="inlineStr">
        <is>
          <t>계약기간 만료에 따른 신규계약</t>
        </is>
      </c>
      <c r="R116" s="2" t="inlineStr">
        <is>
          <t>ㅇ 바코드 유무 : Y
ㅇ 구매속성 : IP구매
ㅇ 자재상태 : 0
ㅇ 검사속성 : 검사제외</t>
        </is>
      </c>
    </row>
    <row r="117">
      <c r="A117" s="2" t="n">
        <v>116</v>
      </c>
      <c r="B117" s="2" t="inlineStr">
        <is>
          <t>K9198345</t>
        </is>
      </c>
      <c r="C117" s="2" t="n"/>
      <c r="D117" s="2" t="inlineStr">
        <is>
          <t>10340540</t>
        </is>
      </c>
      <c r="E117" s="2" t="inlineStr">
        <is>
          <t>Surge protector for WTM 4200</t>
        </is>
      </c>
      <c r="F117" s="2" t="inlineStr">
        <is>
          <t>K9198345</t>
        </is>
      </c>
      <c r="G117" s="2" t="inlineStr">
        <is>
          <t>낙뢰 보호기</t>
        </is>
      </c>
      <c r="H117" s="2" t="inlineStr">
        <is>
          <t>EA</t>
        </is>
      </c>
      <c r="I117" s="2" t="inlineStr">
        <is>
          <t>Aviat</t>
        </is>
      </c>
      <c r="J117" s="2" t="inlineStr">
        <is>
          <t>미국</t>
        </is>
      </c>
      <c r="K117" s="3" t="n">
        <v>120000</v>
      </c>
      <c r="L117" s="3" t="n">
        <v>114000</v>
      </c>
      <c r="M117" s="4">
        <f>K117-L117</f>
        <v/>
      </c>
      <c r="N117" s="5">
        <f>IF(K117=0,0,M117/K117)</f>
        <v/>
      </c>
      <c r="O117" s="3" t="n">
        <v>0</v>
      </c>
      <c r="P117" s="4">
        <f>O117*K117</f>
        <v/>
      </c>
      <c r="Q117" s="2" t="inlineStr">
        <is>
          <t>계약기간 만료에 따른 신규계약</t>
        </is>
      </c>
      <c r="R117" s="2" t="inlineStr">
        <is>
          <t>ㅇ 바코드 유무 : Y
ㅇ 구매속성 : IP구매
ㅇ 자재상태 : 0
ㅇ 검사속성 : 검사제외</t>
        </is>
      </c>
    </row>
    <row r="118">
      <c r="A118" s="2" t="n">
        <v>117</v>
      </c>
      <c r="B118" s="2" t="inlineStr">
        <is>
          <t>K9198346</t>
        </is>
      </c>
      <c r="C118" s="2" t="n"/>
      <c r="D118" s="2" t="inlineStr">
        <is>
          <t>10340542</t>
        </is>
      </c>
      <c r="E118" s="2" t="inlineStr">
        <is>
          <t>WTM 4200 XPIC OUTDOOR CABLE ASSEMBLY TNC PLUG TO TNC PLUG, 1.5M</t>
        </is>
      </c>
      <c r="F118" s="2" t="inlineStr">
        <is>
          <t>K9198346</t>
        </is>
      </c>
      <c r="G118" s="2" t="inlineStr">
        <is>
          <t>XPIC 구성 케이블</t>
        </is>
      </c>
      <c r="H118" s="2" t="inlineStr">
        <is>
          <t>EA</t>
        </is>
      </c>
      <c r="I118" s="2" t="inlineStr">
        <is>
          <t>Aviat</t>
        </is>
      </c>
      <c r="J118" s="2" t="inlineStr">
        <is>
          <t>미국</t>
        </is>
      </c>
      <c r="K118" s="3" t="n">
        <v>70000</v>
      </c>
      <c r="L118" s="3" t="n">
        <v>66500</v>
      </c>
      <c r="M118" s="4">
        <f>K118-L118</f>
        <v/>
      </c>
      <c r="N118" s="5">
        <f>IF(K118=0,0,M118/K118)</f>
        <v/>
      </c>
      <c r="O118" s="3" t="n">
        <v>0</v>
      </c>
      <c r="P118" s="4">
        <f>O118*K118</f>
        <v/>
      </c>
      <c r="Q118" s="2" t="inlineStr">
        <is>
          <t>계약기간 만료에 따른 신규계약</t>
        </is>
      </c>
      <c r="R118" s="2" t="inlineStr">
        <is>
          <t>ㅇ 바코드 유무 : Y
ㅇ 구매속성 : IP구매
ㅇ 자재상태 : 0
ㅇ 검사속성 : 검사제외</t>
        </is>
      </c>
    </row>
    <row r="119">
      <c r="A119" s="2" t="n">
        <v>118</v>
      </c>
      <c r="B119" s="2" t="inlineStr">
        <is>
          <t>K9198347</t>
        </is>
      </c>
      <c r="C119" s="2" t="n"/>
      <c r="D119" s="2" t="inlineStr">
        <is>
          <t>10340544</t>
        </is>
      </c>
      <c r="E119" s="2" t="inlineStr">
        <is>
          <t>10Gigabit Ethernet SFP_Industrial_-40~+85℃_실외형</t>
        </is>
      </c>
      <c r="F119" s="2" t="inlineStr">
        <is>
          <t>K9198347</t>
        </is>
      </c>
      <c r="G119" s="2" t="inlineStr">
        <is>
          <t>옥외 Outdoor용 Optic Gbit Module</t>
        </is>
      </c>
      <c r="H119" s="2" t="inlineStr">
        <is>
          <t>EA</t>
        </is>
      </c>
      <c r="I119" s="2" t="inlineStr">
        <is>
          <t>Aviat</t>
        </is>
      </c>
      <c r="J119" s="2" t="inlineStr">
        <is>
          <t>미국</t>
        </is>
      </c>
      <c r="K119" s="3" t="n">
        <v>300000</v>
      </c>
      <c r="L119" s="3" t="n">
        <v>285000</v>
      </c>
      <c r="M119" s="4">
        <f>K119-L119</f>
        <v/>
      </c>
      <c r="N119" s="5">
        <f>IF(K119=0,0,M119/K119)</f>
        <v/>
      </c>
      <c r="O119" s="6" t="n">
        <v>2</v>
      </c>
      <c r="P119" s="4">
        <f>O119*K119</f>
        <v/>
      </c>
      <c r="Q119" s="2" t="inlineStr">
        <is>
          <t>계약기간 만료에 따른 신규계약</t>
        </is>
      </c>
      <c r="R119" s="2" t="inlineStr">
        <is>
          <t>ㅇ 바코드 유무 : Y
ㅇ 구매속성 : IP구매
ㅇ 자재상태 : 0
ㅇ 검사속성 : 검사제외</t>
        </is>
      </c>
    </row>
    <row r="120">
      <c r="A120" s="2" t="n">
        <v>119</v>
      </c>
      <c r="B120" s="2" t="inlineStr">
        <is>
          <t>K9198348</t>
        </is>
      </c>
      <c r="C120" s="2" t="n"/>
      <c r="D120" s="2" t="inlineStr">
        <is>
          <t>10340546</t>
        </is>
      </c>
      <c r="E120" s="2" t="inlineStr">
        <is>
          <t>Multi-cable(Fiber 1 PWR 1) for WTM 4200, 50M</t>
        </is>
      </c>
      <c r="F120" s="2" t="inlineStr">
        <is>
          <t>K9198348</t>
        </is>
      </c>
      <c r="G120" s="2" t="inlineStr">
        <is>
          <t>멀티 케이블(Fiber 1 PWR 1) 50M</t>
        </is>
      </c>
      <c r="H120" s="2" t="inlineStr">
        <is>
          <t>EA</t>
        </is>
      </c>
      <c r="I120" s="2" t="inlineStr">
        <is>
          <t>Aviat</t>
        </is>
      </c>
      <c r="J120" s="2" t="inlineStr">
        <is>
          <t>미국</t>
        </is>
      </c>
      <c r="K120" s="3" t="n">
        <v>540000</v>
      </c>
      <c r="L120" s="3" t="n">
        <v>513000</v>
      </c>
      <c r="M120" s="4">
        <f>K120-L120</f>
        <v/>
      </c>
      <c r="N120" s="5">
        <f>IF(K120=0,0,M120/K120)</f>
        <v/>
      </c>
      <c r="O120" s="3" t="n">
        <v>0</v>
      </c>
      <c r="P120" s="4">
        <f>O120*K120</f>
        <v/>
      </c>
      <c r="Q120" s="2" t="inlineStr">
        <is>
          <t>계약기간 만료에 따른 신규계약</t>
        </is>
      </c>
      <c r="R120" s="2" t="inlineStr">
        <is>
          <t>ㅇ 바코드 유무 : Y
ㅇ 구매속성 : IP구매
ㅇ 자재상태 : 0
ㅇ 검사속성 : 검사제외</t>
        </is>
      </c>
    </row>
    <row r="121">
      <c r="A121" s="2" t="n">
        <v>120</v>
      </c>
      <c r="B121" s="2" t="inlineStr">
        <is>
          <t>K9198349</t>
        </is>
      </c>
      <c r="C121" s="2" t="n"/>
      <c r="D121" s="2" t="inlineStr">
        <is>
          <t>10340548</t>
        </is>
      </c>
      <c r="E121" s="2" t="inlineStr">
        <is>
          <t>Multi-cable(Fiber 1 PWR 1) for WTM 4200, 100M</t>
        </is>
      </c>
      <c r="F121" s="2" t="inlineStr">
        <is>
          <t>K9198349</t>
        </is>
      </c>
      <c r="G121" s="2" t="inlineStr">
        <is>
          <t>멀티 케이블(Fiber 1 PWR 1) 100M</t>
        </is>
      </c>
      <c r="H121" s="2" t="inlineStr">
        <is>
          <t>EA</t>
        </is>
      </c>
      <c r="I121" s="2" t="inlineStr">
        <is>
          <t>Aviat</t>
        </is>
      </c>
      <c r="J121" s="2" t="inlineStr">
        <is>
          <t>미국</t>
        </is>
      </c>
      <c r="K121" s="3" t="n">
        <v>1000000</v>
      </c>
      <c r="L121" s="3" t="n">
        <v>950000</v>
      </c>
      <c r="M121" s="4">
        <f>K121-L121</f>
        <v/>
      </c>
      <c r="N121" s="5">
        <f>IF(K121=0,0,M121/K121)</f>
        <v/>
      </c>
      <c r="O121" s="3" t="n">
        <v>0</v>
      </c>
      <c r="P121" s="4">
        <f>O121*K121</f>
        <v/>
      </c>
      <c r="Q121" s="2" t="inlineStr">
        <is>
          <t>계약기간 만료에 따른 신규계약</t>
        </is>
      </c>
      <c r="R121" s="2" t="inlineStr">
        <is>
          <t>ㅇ 바코드 유무 : Y
ㅇ 구매속성 : IP구매
ㅇ 자재상태 : 0
ㅇ 검사속성 : 검사제외</t>
        </is>
      </c>
    </row>
    <row r="122">
      <c r="A122" s="2" t="n">
        <v>121</v>
      </c>
      <c r="B122" s="2" t="inlineStr">
        <is>
          <t>K9204012</t>
        </is>
      </c>
      <c r="C122" s="2" t="n"/>
      <c r="D122" s="2" t="inlineStr">
        <is>
          <t>10446896</t>
        </is>
      </c>
      <c r="E122" s="2" t="inlineStr">
        <is>
          <t>HAX_WTM4500XT 8GHz</t>
        </is>
      </c>
      <c r="F122" s="2" t="inlineStr">
        <is>
          <t>K9204012</t>
        </is>
      </c>
      <c r="G122" s="2" t="inlineStr">
        <is>
          <t>8G 옥외 설치용 무선 송수신부 (2T2R)</t>
        </is>
      </c>
      <c r="H122" s="2" t="inlineStr">
        <is>
          <t>EA</t>
        </is>
      </c>
      <c r="I122" s="2" t="inlineStr">
        <is>
          <t>Aviat</t>
        </is>
      </c>
      <c r="J122" s="2" t="inlineStr">
        <is>
          <t>미국</t>
        </is>
      </c>
      <c r="K122" s="3" t="n">
        <v>6000000</v>
      </c>
      <c r="L122" s="3" t="n">
        <v>5820000</v>
      </c>
      <c r="M122" s="4">
        <f>K122-L122</f>
        <v/>
      </c>
      <c r="N122" s="5">
        <f>IF(K122=0,0,M122/K122)</f>
        <v/>
      </c>
      <c r="O122" s="3" t="n">
        <v>0</v>
      </c>
      <c r="P122" s="4">
        <f>O122*K122</f>
        <v/>
      </c>
      <c r="Q122" s="2" t="inlineStr">
        <is>
          <t>계약기간 만료에 따른 신규계약</t>
        </is>
      </c>
      <c r="R122" s="2" t="inlineStr">
        <is>
          <t>ㅇ 바코드 유무 : Y
ㅇ 구매속성 : IP구매
ㅇ 자재상태 : 0
ㅇ 검사속성 : 검사제외</t>
        </is>
      </c>
    </row>
    <row r="123">
      <c r="A123" s="2" t="n">
        <v>122</v>
      </c>
      <c r="B123" s="2" t="inlineStr">
        <is>
          <t>K9204013</t>
        </is>
      </c>
      <c r="C123" s="2" t="n"/>
      <c r="D123" s="2" t="inlineStr">
        <is>
          <t>10446918</t>
        </is>
      </c>
      <c r="E123" s="2" t="inlineStr">
        <is>
          <t>HAX_WTM4500XT 11GHz</t>
        </is>
      </c>
      <c r="F123" s="2" t="inlineStr">
        <is>
          <t>K9204013</t>
        </is>
      </c>
      <c r="G123" s="2" t="inlineStr">
        <is>
          <t>11G 옥외 설치용 무선 송수신부 (2T2R)</t>
        </is>
      </c>
      <c r="H123" s="2" t="inlineStr">
        <is>
          <t>EA</t>
        </is>
      </c>
      <c r="I123" s="2" t="inlineStr">
        <is>
          <t>Aviat</t>
        </is>
      </c>
      <c r="J123" s="2" t="inlineStr">
        <is>
          <t>미국</t>
        </is>
      </c>
      <c r="K123" s="3" t="n">
        <v>6000000</v>
      </c>
      <c r="L123" s="3" t="n">
        <v>5820000</v>
      </c>
      <c r="M123" s="4">
        <f>K123-L123</f>
        <v/>
      </c>
      <c r="N123" s="5">
        <f>IF(K123=0,0,M123/K123)</f>
        <v/>
      </c>
      <c r="O123" s="3" t="n">
        <v>0</v>
      </c>
      <c r="P123" s="4">
        <f>O123*K123</f>
        <v/>
      </c>
      <c r="Q123" s="2" t="inlineStr">
        <is>
          <t>계약기간 만료에 따른 신규계약</t>
        </is>
      </c>
      <c r="R123" s="2" t="inlineStr">
        <is>
          <t>ㅇ 바코드 유무 : Y
ㅇ 구매속성 : IP구매
ㅇ 자재상태 : 0
ㅇ 검사속성 : 검사제외</t>
        </is>
      </c>
    </row>
    <row r="124">
      <c r="A124" s="2" t="n">
        <v>123</v>
      </c>
      <c r="B124" s="2" t="inlineStr">
        <is>
          <t>K9204014</t>
        </is>
      </c>
      <c r="C124" s="2" t="n"/>
      <c r="D124" s="2" t="inlineStr">
        <is>
          <t>10446932</t>
        </is>
      </c>
      <c r="E124" s="2" t="inlineStr">
        <is>
          <t>HAX_8GHz WBX 4 CHNNEL</t>
        </is>
      </c>
      <c r="F124" s="2" t="inlineStr">
        <is>
          <t>K9204014</t>
        </is>
      </c>
      <c r="G124" s="2" t="inlineStr">
        <is>
          <t>옥외형 8G 4+0 결합 브랜칭 유니트</t>
        </is>
      </c>
      <c r="H124" s="2" t="inlineStr">
        <is>
          <t>EA</t>
        </is>
      </c>
      <c r="I124" s="2" t="inlineStr">
        <is>
          <t>Aviat</t>
        </is>
      </c>
      <c r="J124" s="2" t="inlineStr">
        <is>
          <t>미국</t>
        </is>
      </c>
      <c r="K124" s="3" t="n">
        <v>6750000</v>
      </c>
      <c r="L124" s="3" t="n">
        <v>6547500</v>
      </c>
      <c r="M124" s="4">
        <f>K124-L124</f>
        <v/>
      </c>
      <c r="N124" s="5">
        <f>IF(K124=0,0,M124/K124)</f>
        <v/>
      </c>
      <c r="O124" s="3" t="n">
        <v>0</v>
      </c>
      <c r="P124" s="4">
        <f>O124*K124</f>
        <v/>
      </c>
      <c r="Q124" s="2" t="inlineStr">
        <is>
          <t>계약기간 만료에 따른 신규계약</t>
        </is>
      </c>
      <c r="R124" s="2" t="inlineStr">
        <is>
          <t>ㅇ 바코드 유무 : Y
ㅇ 구매속성 : IP구매
ㅇ 자재상태 : 0
ㅇ 검사속성 : 검사제외</t>
        </is>
      </c>
    </row>
    <row r="125">
      <c r="A125" s="2" t="n">
        <v>124</v>
      </c>
      <c r="B125" s="2" t="inlineStr">
        <is>
          <t>K9204015</t>
        </is>
      </c>
      <c r="C125" s="2" t="n"/>
      <c r="D125" s="2" t="inlineStr">
        <is>
          <t>10446934</t>
        </is>
      </c>
      <c r="E125" s="2" t="inlineStr">
        <is>
          <t>HAX_8GHz WBX 4 CHNNEL SD OPTION</t>
        </is>
      </c>
      <c r="F125" s="2" t="inlineStr">
        <is>
          <t>K9204015</t>
        </is>
      </c>
      <c r="G125" s="2" t="inlineStr">
        <is>
          <t>SD 기능 선택</t>
        </is>
      </c>
      <c r="H125" s="2" t="inlineStr">
        <is>
          <t>EA</t>
        </is>
      </c>
      <c r="I125" s="2" t="inlineStr">
        <is>
          <t>Aviat</t>
        </is>
      </c>
      <c r="J125" s="2" t="inlineStr">
        <is>
          <t>미국</t>
        </is>
      </c>
      <c r="K125" s="3" t="n">
        <v>4500000</v>
      </c>
      <c r="L125" s="3" t="n">
        <v>4365000</v>
      </c>
      <c r="M125" s="4">
        <f>K125-L125</f>
        <v/>
      </c>
      <c r="N125" s="5">
        <f>IF(K125=0,0,M125/K125)</f>
        <v/>
      </c>
      <c r="O125" s="3" t="n">
        <v>0</v>
      </c>
      <c r="P125" s="4">
        <f>O125*K125</f>
        <v/>
      </c>
      <c r="Q125" s="2" t="inlineStr">
        <is>
          <t>계약기간 만료에 따른 신규계약</t>
        </is>
      </c>
      <c r="R125" s="2" t="inlineStr">
        <is>
          <t>ㅇ 바코드 유무 : Y
ㅇ 구매속성 : IP구매
ㅇ 자재상태 : 0
ㅇ 검사속성 : 검사제외</t>
        </is>
      </c>
    </row>
    <row r="126">
      <c r="A126" s="2" t="n">
        <v>125</v>
      </c>
      <c r="B126" s="2" t="inlineStr">
        <is>
          <t>K9204016</t>
        </is>
      </c>
      <c r="C126" s="2" t="n"/>
      <c r="D126" s="2" t="inlineStr">
        <is>
          <t>10446936</t>
        </is>
      </c>
      <c r="E126" s="2" t="inlineStr">
        <is>
          <t>HAX_8GHz WBX 8 CHNNEL</t>
        </is>
      </c>
      <c r="F126" s="2" t="inlineStr">
        <is>
          <t>K9204016</t>
        </is>
      </c>
      <c r="G126" s="2" t="inlineStr">
        <is>
          <t>옥외형 8G 8+0 결합 브랜칭 유니트</t>
        </is>
      </c>
      <c r="H126" s="2" t="inlineStr">
        <is>
          <t>EA</t>
        </is>
      </c>
      <c r="I126" s="2" t="inlineStr">
        <is>
          <t>Aviat</t>
        </is>
      </c>
      <c r="J126" s="2" t="inlineStr">
        <is>
          <t>미국</t>
        </is>
      </c>
      <c r="K126" s="3" t="n">
        <v>12000000</v>
      </c>
      <c r="L126" s="3" t="n">
        <v>11640000</v>
      </c>
      <c r="M126" s="4">
        <f>K126-L126</f>
        <v/>
      </c>
      <c r="N126" s="5">
        <f>IF(K126=0,0,M126/K126)</f>
        <v/>
      </c>
      <c r="O126" s="3" t="n">
        <v>0</v>
      </c>
      <c r="P126" s="4">
        <f>O126*K126</f>
        <v/>
      </c>
      <c r="Q126" s="2" t="inlineStr">
        <is>
          <t>계약기간 만료에 따른 신규계약</t>
        </is>
      </c>
      <c r="R126" s="2" t="inlineStr">
        <is>
          <t>ㅇ 바코드 유무 : Y
ㅇ 구매속성 : IP구매
ㅇ 자재상태 : 0
ㅇ 검사속성 : 검사제외</t>
        </is>
      </c>
    </row>
    <row r="127">
      <c r="A127" s="2" t="n">
        <v>126</v>
      </c>
      <c r="B127" s="2" t="inlineStr">
        <is>
          <t>K9204017</t>
        </is>
      </c>
      <c r="C127" s="2" t="n"/>
      <c r="D127" s="2" t="inlineStr">
        <is>
          <t>10446938</t>
        </is>
      </c>
      <c r="E127" s="2" t="inlineStr">
        <is>
          <t>HAX_8GHz WBX 8 CHNNEL SD OPTION</t>
        </is>
      </c>
      <c r="F127" s="2" t="inlineStr">
        <is>
          <t>K9204017</t>
        </is>
      </c>
      <c r="G127" s="2" t="inlineStr">
        <is>
          <t>SD 기능 선택</t>
        </is>
      </c>
      <c r="H127" s="2" t="inlineStr">
        <is>
          <t>EA</t>
        </is>
      </c>
      <c r="I127" s="2" t="inlineStr">
        <is>
          <t>Aviat</t>
        </is>
      </c>
      <c r="J127" s="2" t="inlineStr">
        <is>
          <t>미국</t>
        </is>
      </c>
      <c r="K127" s="3" t="n">
        <v>4500000</v>
      </c>
      <c r="L127" s="3" t="n">
        <v>4365000</v>
      </c>
      <c r="M127" s="4">
        <f>K127-L127</f>
        <v/>
      </c>
      <c r="N127" s="5">
        <f>IF(K127=0,0,M127/K127)</f>
        <v/>
      </c>
      <c r="O127" s="3" t="n">
        <v>0</v>
      </c>
      <c r="P127" s="4">
        <f>O127*K127</f>
        <v/>
      </c>
      <c r="Q127" s="2" t="inlineStr">
        <is>
          <t>계약기간 만료에 따른 신규계약</t>
        </is>
      </c>
      <c r="R127" s="2" t="inlineStr">
        <is>
          <t>ㅇ 바코드 유무 : Y
ㅇ 구매속성 : IP구매
ㅇ 자재상태 : 0
ㅇ 검사속성 : 검사제외</t>
        </is>
      </c>
    </row>
    <row r="128">
      <c r="A128" s="2" t="n">
        <v>127</v>
      </c>
      <c r="B128" s="2" t="inlineStr">
        <is>
          <t>K9204018</t>
        </is>
      </c>
      <c r="C128" s="2" t="n"/>
      <c r="D128" s="2" t="inlineStr">
        <is>
          <t>10446940</t>
        </is>
      </c>
      <c r="E128" s="2" t="inlineStr">
        <is>
          <t>HAX_11GHz WBX 4 CHNNEL</t>
        </is>
      </c>
      <c r="F128" s="2" t="inlineStr">
        <is>
          <t>K9204018</t>
        </is>
      </c>
      <c r="G128" s="2" t="inlineStr">
        <is>
          <t>옥외형 11G 4+0 결합 브랜칭 유니트</t>
        </is>
      </c>
      <c r="H128" s="2" t="inlineStr">
        <is>
          <t>EA</t>
        </is>
      </c>
      <c r="I128" s="2" t="inlineStr">
        <is>
          <t>Aviat</t>
        </is>
      </c>
      <c r="J128" s="2" t="inlineStr">
        <is>
          <t>미국</t>
        </is>
      </c>
      <c r="K128" s="3" t="n">
        <v>6750000</v>
      </c>
      <c r="L128" s="3" t="n">
        <v>6547500</v>
      </c>
      <c r="M128" s="4">
        <f>K128-L128</f>
        <v/>
      </c>
      <c r="N128" s="5">
        <f>IF(K128=0,0,M128/K128)</f>
        <v/>
      </c>
      <c r="O128" s="3" t="n">
        <v>0</v>
      </c>
      <c r="P128" s="4">
        <f>O128*K128</f>
        <v/>
      </c>
      <c r="Q128" s="2" t="inlineStr">
        <is>
          <t>계약기간 만료에 따른 신규계약</t>
        </is>
      </c>
      <c r="R128" s="2" t="inlineStr">
        <is>
          <t>ㅇ 바코드 유무 : Y
ㅇ 구매속성 : IP구매
ㅇ 자재상태 : 0
ㅇ 검사속성 : 검사제외</t>
        </is>
      </c>
    </row>
    <row r="129">
      <c r="A129" s="2" t="n">
        <v>128</v>
      </c>
      <c r="B129" s="2" t="inlineStr">
        <is>
          <t>K9204019</t>
        </is>
      </c>
      <c r="C129" s="2" t="n"/>
      <c r="D129" s="2" t="inlineStr">
        <is>
          <t>10446942</t>
        </is>
      </c>
      <c r="E129" s="2" t="inlineStr">
        <is>
          <t>HAX_11GHz WBX 4 CHNNEL SD OPTION</t>
        </is>
      </c>
      <c r="F129" s="2" t="inlineStr">
        <is>
          <t>K9204019</t>
        </is>
      </c>
      <c r="G129" s="2" t="inlineStr">
        <is>
          <t>SD 기능 선택</t>
        </is>
      </c>
      <c r="H129" s="2" t="inlineStr">
        <is>
          <t>EA</t>
        </is>
      </c>
      <c r="I129" s="2" t="inlineStr">
        <is>
          <t>Aviat</t>
        </is>
      </c>
      <c r="J129" s="2" t="inlineStr">
        <is>
          <t>미국</t>
        </is>
      </c>
      <c r="K129" s="3" t="n">
        <v>4500000</v>
      </c>
      <c r="L129" s="3" t="n">
        <v>4365000</v>
      </c>
      <c r="M129" s="4">
        <f>K129-L129</f>
        <v/>
      </c>
      <c r="N129" s="5">
        <f>IF(K129=0,0,M129/K129)</f>
        <v/>
      </c>
      <c r="O129" s="3" t="n">
        <v>0</v>
      </c>
      <c r="P129" s="4">
        <f>O129*K129</f>
        <v/>
      </c>
      <c r="Q129" s="2" t="inlineStr">
        <is>
          <t>계약기간 만료에 따른 신규계약</t>
        </is>
      </c>
      <c r="R129" s="2" t="inlineStr">
        <is>
          <t>ㅇ 바코드 유무 : Y
ㅇ 구매속성 : IP구매
ㅇ 자재상태 : 0
ㅇ 검사속성 : 검사제외</t>
        </is>
      </c>
    </row>
    <row r="130">
      <c r="A130" s="2" t="n">
        <v>129</v>
      </c>
      <c r="B130" s="2" t="inlineStr">
        <is>
          <t>K9204020</t>
        </is>
      </c>
      <c r="C130" s="2" t="n"/>
      <c r="D130" s="2" t="inlineStr">
        <is>
          <t>10446944</t>
        </is>
      </c>
      <c r="E130" s="2" t="inlineStr">
        <is>
          <t>HAX_11GHz WBX 8 CHNNEL</t>
        </is>
      </c>
      <c r="F130" s="2" t="inlineStr">
        <is>
          <t>K9204020</t>
        </is>
      </c>
      <c r="G130" s="2" t="inlineStr">
        <is>
          <t>옥외형 11G 8+0 결합 브랜칭 유니트</t>
        </is>
      </c>
      <c r="H130" s="2" t="inlineStr">
        <is>
          <t>EA</t>
        </is>
      </c>
      <c r="I130" s="2" t="inlineStr">
        <is>
          <t>Aviat</t>
        </is>
      </c>
      <c r="J130" s="2" t="inlineStr">
        <is>
          <t>미국</t>
        </is>
      </c>
      <c r="K130" s="3" t="n">
        <v>12000000</v>
      </c>
      <c r="L130" s="3" t="n">
        <v>11640000</v>
      </c>
      <c r="M130" s="4">
        <f>K130-L130</f>
        <v/>
      </c>
      <c r="N130" s="5">
        <f>IF(K130=0,0,M130/K130)</f>
        <v/>
      </c>
      <c r="O130" s="3" t="n">
        <v>0</v>
      </c>
      <c r="P130" s="4">
        <f>O130*K130</f>
        <v/>
      </c>
      <c r="Q130" s="2" t="inlineStr">
        <is>
          <t>계약기간 만료에 따른 신규계약</t>
        </is>
      </c>
      <c r="R130" s="2" t="inlineStr">
        <is>
          <t>ㅇ 바코드 유무 : Y
ㅇ 구매속성 : IP구매
ㅇ 자재상태 : 0
ㅇ 검사속성 : 검사제외</t>
        </is>
      </c>
    </row>
    <row r="131">
      <c r="A131" s="2" t="n">
        <v>130</v>
      </c>
      <c r="B131" s="2" t="inlineStr">
        <is>
          <t>K9204021</t>
        </is>
      </c>
      <c r="C131" s="2" t="n"/>
      <c r="D131" s="2" t="inlineStr">
        <is>
          <t>10446898</t>
        </is>
      </c>
      <c r="E131" s="2" t="inlineStr">
        <is>
          <t>HAX_11GHz WBX 8 CHNNEL SD OPTION</t>
        </is>
      </c>
      <c r="F131" s="2" t="inlineStr">
        <is>
          <t>K9204021</t>
        </is>
      </c>
      <c r="G131" s="2" t="inlineStr">
        <is>
          <t>SD 기능 선택</t>
        </is>
      </c>
      <c r="H131" s="2" t="inlineStr">
        <is>
          <t>EA</t>
        </is>
      </c>
      <c r="I131" s="2" t="inlineStr">
        <is>
          <t>Aviat</t>
        </is>
      </c>
      <c r="J131" s="2" t="inlineStr">
        <is>
          <t>미국</t>
        </is>
      </c>
      <c r="K131" s="3" t="n">
        <v>4500000</v>
      </c>
      <c r="L131" s="3" t="n">
        <v>4365000</v>
      </c>
      <c r="M131" s="4">
        <f>K131-L131</f>
        <v/>
      </c>
      <c r="N131" s="5">
        <f>IF(K131=0,0,M131/K131)</f>
        <v/>
      </c>
      <c r="O131" s="3" t="n">
        <v>0</v>
      </c>
      <c r="P131" s="4">
        <f>O131*K131</f>
        <v/>
      </c>
      <c r="Q131" s="2" t="inlineStr">
        <is>
          <t>계약기간 만료에 따른 신규계약</t>
        </is>
      </c>
      <c r="R131" s="2" t="inlineStr">
        <is>
          <t>ㅇ 바코드 유무 : Y
ㅇ 구매속성 : IP구매
ㅇ 자재상태 : 0
ㅇ 검사속성 : 검사제외</t>
        </is>
      </c>
    </row>
    <row r="132">
      <c r="A132" s="2" t="n">
        <v>131</v>
      </c>
      <c r="B132" s="2" t="inlineStr">
        <is>
          <t>K9204022</t>
        </is>
      </c>
      <c r="C132" s="2" t="n"/>
      <c r="D132" s="2" t="inlineStr">
        <is>
          <t>10446900</t>
        </is>
      </c>
      <c r="E132" s="2" t="inlineStr">
        <is>
          <t>HAX_CTR8740 1RU CHSSIS</t>
        </is>
      </c>
      <c r="F132" s="2" t="inlineStr">
        <is>
          <t>K9204022</t>
        </is>
      </c>
      <c r="G132" s="2" t="inlineStr">
        <is>
          <t>인터페이스 정합 IDU</t>
        </is>
      </c>
      <c r="H132" s="2" t="inlineStr">
        <is>
          <t>EA</t>
        </is>
      </c>
      <c r="I132" s="2" t="inlineStr">
        <is>
          <t>Aviat</t>
        </is>
      </c>
      <c r="J132" s="2" t="inlineStr">
        <is>
          <t>미국</t>
        </is>
      </c>
      <c r="K132" s="3" t="n">
        <v>4000000</v>
      </c>
      <c r="L132" s="3" t="n">
        <v>3880000</v>
      </c>
      <c r="M132" s="4">
        <f>K132-L132</f>
        <v/>
      </c>
      <c r="N132" s="5">
        <f>IF(K132=0,0,M132/K132)</f>
        <v/>
      </c>
      <c r="O132" s="6" t="n">
        <v>6</v>
      </c>
      <c r="P132" s="4">
        <f>O132*K132</f>
        <v/>
      </c>
      <c r="Q132" s="2" t="inlineStr">
        <is>
          <t>계약기간 만료에 따른 신규계약</t>
        </is>
      </c>
      <c r="R132" s="2" t="inlineStr">
        <is>
          <t>ㅇ 바코드 유무 : Y
ㅇ 구매속성 : IP구매
ㅇ 자재상태 : 0
ㅇ 검사속성 : 검사제외</t>
        </is>
      </c>
    </row>
    <row r="133">
      <c r="A133" s="2" t="n">
        <v>132</v>
      </c>
      <c r="B133" s="2" t="inlineStr">
        <is>
          <t>K9204023</t>
        </is>
      </c>
      <c r="C133" s="2" t="n"/>
      <c r="D133" s="2" t="inlineStr">
        <is>
          <t>10446902</t>
        </is>
      </c>
      <c r="E133" s="2" t="inlineStr">
        <is>
          <t>HAX_CTR8740 DUAL POWER SUPPLY</t>
        </is>
      </c>
      <c r="F133" s="2" t="inlineStr">
        <is>
          <t>K9204023</t>
        </is>
      </c>
      <c r="G133" s="2" t="inlineStr">
        <is>
          <t>듀얼 전원 모듈</t>
        </is>
      </c>
      <c r="H133" s="2" t="inlineStr">
        <is>
          <t>EA</t>
        </is>
      </c>
      <c r="I133" s="2" t="inlineStr">
        <is>
          <t>Aviat</t>
        </is>
      </c>
      <c r="J133" s="2" t="inlineStr">
        <is>
          <t>미국</t>
        </is>
      </c>
      <c r="K133" s="3" t="n">
        <v>500000</v>
      </c>
      <c r="L133" s="3" t="n">
        <v>485000</v>
      </c>
      <c r="M133" s="4">
        <f>K133-L133</f>
        <v/>
      </c>
      <c r="N133" s="5">
        <f>IF(K133=0,0,M133/K133)</f>
        <v/>
      </c>
      <c r="O133" s="6" t="n">
        <v>6</v>
      </c>
      <c r="P133" s="4">
        <f>O133*K133</f>
        <v/>
      </c>
      <c r="Q133" s="2" t="inlineStr">
        <is>
          <t>계약기간 만료에 따른 신규계약</t>
        </is>
      </c>
      <c r="R133" s="2" t="inlineStr">
        <is>
          <t>ㅇ 바코드 유무 : Y
ㅇ 구매속성 : IP구매
ㅇ 자재상태 : 0
ㅇ 검사속성 : 검사제외</t>
        </is>
      </c>
    </row>
    <row r="134">
      <c r="A134" s="2" t="n">
        <v>133</v>
      </c>
      <c r="B134" s="2" t="inlineStr">
        <is>
          <t>K9204024</t>
        </is>
      </c>
      <c r="C134" s="2" t="n"/>
      <c r="D134" s="2" t="inlineStr">
        <is>
          <t>10446904</t>
        </is>
      </c>
      <c r="E134" s="2" t="inlineStr">
        <is>
          <t>HAX_CABLE CAT5E OUTDOOR RJ-45 2M</t>
        </is>
      </c>
      <c r="F134" s="2" t="inlineStr">
        <is>
          <t>K9204024</t>
        </is>
      </c>
      <c r="G134" s="2" t="inlineStr">
        <is>
          <t>실외형 CAT 5E 케이블, 2M</t>
        </is>
      </c>
      <c r="H134" s="2" t="inlineStr">
        <is>
          <t>EA</t>
        </is>
      </c>
      <c r="I134" s="2" t="inlineStr">
        <is>
          <t>Aviat</t>
        </is>
      </c>
      <c r="J134" s="2" t="inlineStr">
        <is>
          <t>미국</t>
        </is>
      </c>
      <c r="K134" s="3" t="n">
        <v>20000</v>
      </c>
      <c r="L134" s="3" t="n">
        <v>19400</v>
      </c>
      <c r="M134" s="4">
        <f>K134-L134</f>
        <v/>
      </c>
      <c r="N134" s="5">
        <f>IF(K134=0,0,M134/K134)</f>
        <v/>
      </c>
      <c r="O134" s="3" t="n">
        <v>0</v>
      </c>
      <c r="P134" s="4">
        <f>O134*K134</f>
        <v/>
      </c>
      <c r="Q134" s="2" t="inlineStr">
        <is>
          <t>계약기간 만료에 따른 신규계약</t>
        </is>
      </c>
      <c r="R134" s="2" t="inlineStr">
        <is>
          <t>ㅇ 바코드 유무 : Y
ㅇ 구매속성 : IP구매
ㅇ 자재상태 : 0
ㅇ 검사속성 : 검사제외</t>
        </is>
      </c>
    </row>
    <row r="135">
      <c r="A135" s="2" t="n">
        <v>134</v>
      </c>
      <c r="B135" s="2" t="inlineStr">
        <is>
          <t>K9204025</t>
        </is>
      </c>
      <c r="C135" s="2" t="n"/>
      <c r="D135" s="2" t="inlineStr">
        <is>
          <t>10446906</t>
        </is>
      </c>
      <c r="E135" s="2" t="inlineStr">
        <is>
          <t>HAX_CABLE CLAMP 8HOLE 5-7.5MM</t>
        </is>
      </c>
      <c r="F135" s="2" t="inlineStr">
        <is>
          <t>K9204025</t>
        </is>
      </c>
      <c r="G135" s="2" t="inlineStr">
        <is>
          <t>실외형 케이블 마운팅 KIT</t>
        </is>
      </c>
      <c r="H135" s="2" t="inlineStr">
        <is>
          <t>EA</t>
        </is>
      </c>
      <c r="I135" s="2" t="inlineStr">
        <is>
          <t>Aviat</t>
        </is>
      </c>
      <c r="J135" s="2" t="inlineStr">
        <is>
          <t>미국</t>
        </is>
      </c>
      <c r="K135" s="3" t="n">
        <v>20000</v>
      </c>
      <c r="L135" s="3" t="n">
        <v>19400</v>
      </c>
      <c r="M135" s="4">
        <f>K135-L135</f>
        <v/>
      </c>
      <c r="N135" s="5">
        <f>IF(K135=0,0,M135/K135)</f>
        <v/>
      </c>
      <c r="O135" s="3" t="n">
        <v>0</v>
      </c>
      <c r="P135" s="4">
        <f>O135*K135</f>
        <v/>
      </c>
      <c r="Q135" s="2" t="inlineStr">
        <is>
          <t>계약기간 만료에 따른 신규계약</t>
        </is>
      </c>
      <c r="R135" s="2" t="inlineStr">
        <is>
          <t>ㅇ 바코드 유무 : Y
ㅇ 구매속성 : IP구매
ㅇ 자재상태 : 0
ㅇ 검사속성 : 검사제외</t>
        </is>
      </c>
    </row>
    <row r="136">
      <c r="A136" s="2" t="n">
        <v>135</v>
      </c>
      <c r="B136" s="2" t="inlineStr">
        <is>
          <t>K9204026</t>
        </is>
      </c>
      <c r="C136" s="2" t="n"/>
      <c r="D136" s="2" t="inlineStr">
        <is>
          <t>10446908</t>
        </is>
      </c>
      <c r="E136" s="2" t="inlineStr">
        <is>
          <t>HAX_WEATHERPROOFING KIT</t>
        </is>
      </c>
      <c r="F136" s="2" t="inlineStr">
        <is>
          <t>K9204026</t>
        </is>
      </c>
      <c r="G136" s="2" t="inlineStr">
        <is>
          <t>실외형 방수 자재 KIT</t>
        </is>
      </c>
      <c r="H136" s="2" t="inlineStr">
        <is>
          <t>EA</t>
        </is>
      </c>
      <c r="I136" s="2" t="inlineStr">
        <is>
          <t>Aviat</t>
        </is>
      </c>
      <c r="J136" s="2" t="inlineStr">
        <is>
          <t>미국</t>
        </is>
      </c>
      <c r="K136" s="3" t="n">
        <v>20000</v>
      </c>
      <c r="L136" s="3" t="n">
        <v>19400</v>
      </c>
      <c r="M136" s="4">
        <f>K136-L136</f>
        <v/>
      </c>
      <c r="N136" s="5">
        <f>IF(K136=0,0,M136/K136)</f>
        <v/>
      </c>
      <c r="O136" s="6" t="n">
        <v>20</v>
      </c>
      <c r="P136" s="4">
        <f>O136*K136</f>
        <v/>
      </c>
      <c r="Q136" s="2" t="inlineStr">
        <is>
          <t>계약기간 만료에 따른 신규계약</t>
        </is>
      </c>
      <c r="R136" s="2" t="inlineStr">
        <is>
          <t>ㅇ 바코드 유무 : Y
ㅇ 구매속성 : IP구매
ㅇ 자재상태 : 0
ㅇ 검사속성 : 검사제외</t>
        </is>
      </c>
    </row>
    <row r="137">
      <c r="A137" s="2" t="n">
        <v>136</v>
      </c>
      <c r="B137" s="2" t="inlineStr">
        <is>
          <t>K9204027</t>
        </is>
      </c>
      <c r="C137" s="2" t="n"/>
      <c r="D137" s="2" t="inlineStr">
        <is>
          <t>10446910</t>
        </is>
      </c>
      <c r="E137" s="2" t="inlineStr">
        <is>
          <t>HAX_MULTI POWER CABLE 100M</t>
        </is>
      </c>
      <c r="F137" s="2" t="inlineStr">
        <is>
          <t>K9204027</t>
        </is>
      </c>
      <c r="G137" s="2" t="inlineStr">
        <is>
          <t>실외형 멀티 전원 케이블 KIT</t>
        </is>
      </c>
      <c r="H137" s="2" t="inlineStr">
        <is>
          <t>EA</t>
        </is>
      </c>
      <c r="I137" s="2" t="inlineStr">
        <is>
          <t>Aviat</t>
        </is>
      </c>
      <c r="J137" s="2" t="inlineStr">
        <is>
          <t>미국</t>
        </is>
      </c>
      <c r="K137" s="3" t="n">
        <v>2000000</v>
      </c>
      <c r="L137" s="3" t="n">
        <v>1940000</v>
      </c>
      <c r="M137" s="4">
        <f>K137-L137</f>
        <v/>
      </c>
      <c r="N137" s="5">
        <f>IF(K137=0,0,M137/K137)</f>
        <v/>
      </c>
      <c r="O137" s="6" t="n">
        <v>4</v>
      </c>
      <c r="P137" s="4">
        <f>O137*K137</f>
        <v/>
      </c>
      <c r="Q137" s="2" t="inlineStr">
        <is>
          <t>계약기간 만료에 따른 신규계약</t>
        </is>
      </c>
      <c r="R137" s="2" t="inlineStr">
        <is>
          <t>ㅇ 바코드 유무 : Y
ㅇ 구매속성 : IP구매
ㅇ 자재상태 : 0
ㅇ 검사속성 : 검사제외</t>
        </is>
      </c>
    </row>
    <row r="138">
      <c r="A138" s="2" t="n">
        <v>137</v>
      </c>
      <c r="B138" s="2" t="inlineStr">
        <is>
          <t>K9204028</t>
        </is>
      </c>
      <c r="C138" s="2" t="n"/>
      <c r="D138" s="2" t="inlineStr">
        <is>
          <t>10446912</t>
        </is>
      </c>
      <c r="E138" s="2" t="inlineStr">
        <is>
          <t>HAX_MULTI-FIBER CABLE 100M</t>
        </is>
      </c>
      <c r="F138" s="2" t="inlineStr">
        <is>
          <t>K9204028</t>
        </is>
      </c>
      <c r="G138" s="2" t="inlineStr">
        <is>
          <t>실외형 멀티 광케이블 KIT</t>
        </is>
      </c>
      <c r="H138" s="2" t="inlineStr">
        <is>
          <t>EA</t>
        </is>
      </c>
      <c r="I138" s="2" t="inlineStr">
        <is>
          <t>Aviat</t>
        </is>
      </c>
      <c r="J138" s="2" t="inlineStr">
        <is>
          <t>미국</t>
        </is>
      </c>
      <c r="K138" s="3" t="n">
        <v>750000</v>
      </c>
      <c r="L138" s="3" t="n">
        <v>727500</v>
      </c>
      <c r="M138" s="4">
        <f>K138-L138</f>
        <v/>
      </c>
      <c r="N138" s="5">
        <f>IF(K138=0,0,M138/K138)</f>
        <v/>
      </c>
      <c r="O138" s="6" t="n">
        <v>4</v>
      </c>
      <c r="P138" s="4">
        <f>O138*K138</f>
        <v/>
      </c>
      <c r="Q138" s="2" t="inlineStr">
        <is>
          <t>계약기간 만료에 따른 신규계약</t>
        </is>
      </c>
      <c r="R138" s="2" t="inlineStr">
        <is>
          <t>ㅇ 바코드 유무 : Y
ㅇ 구매속성 : IP구매
ㅇ 자재상태 : 0
ㅇ 검사속성 : 검사제외</t>
        </is>
      </c>
    </row>
    <row r="139">
      <c r="A139" s="2" t="n">
        <v>138</v>
      </c>
      <c r="B139" s="2" t="inlineStr">
        <is>
          <t>K9204029</t>
        </is>
      </c>
      <c r="C139" s="2" t="n"/>
      <c r="D139" s="2" t="inlineStr">
        <is>
          <t>10446914</t>
        </is>
      </c>
      <c r="E139" s="2" t="inlineStr">
        <is>
          <t>HAX_MULTI-ETHERNET CABLE 100M</t>
        </is>
      </c>
      <c r="F139" s="2" t="inlineStr">
        <is>
          <t>K9204029</t>
        </is>
      </c>
      <c r="G139" s="2" t="inlineStr">
        <is>
          <t>실외형 멀티 UTP 케이블 KIT</t>
        </is>
      </c>
      <c r="H139" s="2" t="inlineStr">
        <is>
          <t>EA</t>
        </is>
      </c>
      <c r="I139" s="2" t="inlineStr">
        <is>
          <t>Aviat</t>
        </is>
      </c>
      <c r="J139" s="2" t="inlineStr">
        <is>
          <t>미국</t>
        </is>
      </c>
      <c r="K139" s="3" t="n">
        <v>1400000</v>
      </c>
      <c r="L139" s="3" t="n">
        <v>1358000</v>
      </c>
      <c r="M139" s="4">
        <f>K139-L139</f>
        <v/>
      </c>
      <c r="N139" s="5">
        <f>IF(K139=0,0,M139/K139)</f>
        <v/>
      </c>
      <c r="O139" s="6" t="n">
        <v>4</v>
      </c>
      <c r="P139" s="4">
        <f>O139*K139</f>
        <v/>
      </c>
      <c r="Q139" s="2" t="inlineStr">
        <is>
          <t>계약기간 만료에 따른 신규계약</t>
        </is>
      </c>
      <c r="R139" s="2" t="inlineStr">
        <is>
          <t>ㅇ 바코드 유무 : Y
ㅇ 구매속성 : IP구매
ㅇ 자재상태 : 0
ㅇ 검사속성 : 검사제외</t>
        </is>
      </c>
    </row>
    <row r="140">
      <c r="A140" s="2" t="n">
        <v>139</v>
      </c>
      <c r="B140" s="2" t="inlineStr">
        <is>
          <t>K9204030</t>
        </is>
      </c>
      <c r="C140" s="2" t="n"/>
      <c r="D140" s="2" t="inlineStr">
        <is>
          <t>10446916</t>
        </is>
      </c>
      <c r="E140" s="2" t="inlineStr">
        <is>
          <t>HAX_PROTECTOR MODULE</t>
        </is>
      </c>
      <c r="F140" s="2" t="inlineStr">
        <is>
          <t>K9204030</t>
        </is>
      </c>
      <c r="G140" s="2" t="inlineStr">
        <is>
          <t>낙뢰 보호 모듈</t>
        </is>
      </c>
      <c r="H140" s="2" t="inlineStr">
        <is>
          <t>EA</t>
        </is>
      </c>
      <c r="I140" s="2" t="inlineStr">
        <is>
          <t>Aviat</t>
        </is>
      </c>
      <c r="J140" s="2" t="inlineStr">
        <is>
          <t>미국</t>
        </is>
      </c>
      <c r="K140" s="3" t="n">
        <v>400000</v>
      </c>
      <c r="L140" s="3" t="n">
        <v>388000</v>
      </c>
      <c r="M140" s="4">
        <f>K140-L140</f>
        <v/>
      </c>
      <c r="N140" s="5">
        <f>IF(K140=0,0,M140/K140)</f>
        <v/>
      </c>
      <c r="O140" s="6" t="n">
        <v>12</v>
      </c>
      <c r="P140" s="4">
        <f>O140*K140</f>
        <v/>
      </c>
      <c r="Q140" s="2" t="inlineStr">
        <is>
          <t>계약기간 만료에 따른 신규계약</t>
        </is>
      </c>
      <c r="R140" s="2" t="inlineStr">
        <is>
          <t>ㅇ 바코드 유무 : Y
ㅇ 구매속성 : IP구매
ㅇ 자재상태 : 0
ㅇ 검사속성 : 검사제외</t>
        </is>
      </c>
    </row>
    <row r="141">
      <c r="A141" s="2" t="n">
        <v>140</v>
      </c>
      <c r="B141" s="2" t="inlineStr">
        <is>
          <t>K9204031</t>
        </is>
      </c>
      <c r="C141" s="2" t="n"/>
      <c r="D141" s="2" t="inlineStr">
        <is>
          <t>10446920</t>
        </is>
      </c>
      <c r="E141" s="2" t="inlineStr">
        <is>
          <t>HAX_PROTECTOR MODULE BRACKET</t>
        </is>
      </c>
      <c r="F141" s="2" t="inlineStr">
        <is>
          <t>K9204031</t>
        </is>
      </c>
      <c r="G141" s="2" t="inlineStr">
        <is>
          <t>낙뢰 보호 모듈 마운팅 KIT</t>
        </is>
      </c>
      <c r="H141" s="2" t="inlineStr">
        <is>
          <t>EA</t>
        </is>
      </c>
      <c r="I141" s="2" t="inlineStr">
        <is>
          <t>Aviat</t>
        </is>
      </c>
      <c r="J141" s="2" t="inlineStr">
        <is>
          <t>미국</t>
        </is>
      </c>
      <c r="K141" s="3" t="n">
        <v>300000</v>
      </c>
      <c r="L141" s="3" t="n">
        <v>291000</v>
      </c>
      <c r="M141" s="4">
        <f>K141-L141</f>
        <v/>
      </c>
      <c r="N141" s="5">
        <f>IF(K141=0,0,M141/K141)</f>
        <v/>
      </c>
      <c r="O141" s="3" t="n">
        <v>0</v>
      </c>
      <c r="P141" s="4">
        <f>O141*K141</f>
        <v/>
      </c>
      <c r="Q141" s="2" t="inlineStr">
        <is>
          <t>계약기간 만료에 따른 신규계약</t>
        </is>
      </c>
      <c r="R141" s="2" t="inlineStr">
        <is>
          <t>ㅇ 바코드 유무 : Y
ㅇ 구매속성 : IP구매
ㅇ 자재상태 : 0
ㅇ 검사속성 : 검사제외</t>
        </is>
      </c>
    </row>
    <row r="142">
      <c r="A142" s="2" t="n">
        <v>141</v>
      </c>
      <c r="B142" s="2" t="inlineStr">
        <is>
          <t>K9204032</t>
        </is>
      </c>
      <c r="C142" s="2" t="n"/>
      <c r="D142" s="2" t="inlineStr">
        <is>
          <t>10446922</t>
        </is>
      </c>
      <c r="E142" s="2" t="inlineStr">
        <is>
          <t>HAX_GROUND CONDUCTOR</t>
        </is>
      </c>
      <c r="F142" s="2" t="inlineStr">
        <is>
          <t>K9204032</t>
        </is>
      </c>
      <c r="G142" s="2" t="inlineStr">
        <is>
          <t>실외형 Ground KIT</t>
        </is>
      </c>
      <c r="H142" s="2" t="inlineStr">
        <is>
          <t>EA</t>
        </is>
      </c>
      <c r="I142" s="2" t="inlineStr">
        <is>
          <t>Aviat</t>
        </is>
      </c>
      <c r="J142" s="2" t="inlineStr">
        <is>
          <t>미국</t>
        </is>
      </c>
      <c r="K142" s="3" t="n">
        <v>30000</v>
      </c>
      <c r="L142" s="3" t="n">
        <v>29100</v>
      </c>
      <c r="M142" s="4">
        <f>K142-L142</f>
        <v/>
      </c>
      <c r="N142" s="5">
        <f>IF(K142=0,0,M142/K142)</f>
        <v/>
      </c>
      <c r="O142" s="6" t="n">
        <v>12</v>
      </c>
      <c r="P142" s="4">
        <f>O142*K142</f>
        <v/>
      </c>
      <c r="Q142" s="2" t="inlineStr">
        <is>
          <t>계약기간 만료에 따른 신규계약</t>
        </is>
      </c>
      <c r="R142" s="2" t="inlineStr">
        <is>
          <t>ㅇ 바코드 유무 : Y
ㅇ 구매속성 : IP구매
ㅇ 자재상태 : 0
ㅇ 검사속성 : 검사제외</t>
        </is>
      </c>
    </row>
    <row r="143">
      <c r="A143" s="2" t="n">
        <v>142</v>
      </c>
      <c r="B143" s="2" t="inlineStr">
        <is>
          <t>K9204033</t>
        </is>
      </c>
      <c r="C143" s="2" t="n"/>
      <c r="D143" s="2" t="inlineStr">
        <is>
          <t>10446924</t>
        </is>
      </c>
      <c r="E143" s="2" t="inlineStr">
        <is>
          <t>HAX_WTM4500 NODE LICENSE</t>
        </is>
      </c>
      <c r="F143" s="2" t="inlineStr">
        <is>
          <t>K9204033</t>
        </is>
      </c>
      <c r="G143" s="2" t="inlineStr">
        <is>
          <t>WTM 4500 노드 라이선스</t>
        </is>
      </c>
      <c r="H143" s="2" t="inlineStr">
        <is>
          <t>EA</t>
        </is>
      </c>
      <c r="I143" s="2" t="inlineStr">
        <is>
          <t>Aviat</t>
        </is>
      </c>
      <c r="J143" s="2" t="inlineStr">
        <is>
          <t>미국</t>
        </is>
      </c>
      <c r="K143" s="3" t="n">
        <v>2500000</v>
      </c>
      <c r="L143" s="3" t="n">
        <v>2425000</v>
      </c>
      <c r="M143" s="4">
        <f>K143-L143</f>
        <v/>
      </c>
      <c r="N143" s="5">
        <f>IF(K143=0,0,M143/K143)</f>
        <v/>
      </c>
      <c r="O143" s="6" t="n">
        <v>12</v>
      </c>
      <c r="P143" s="4">
        <f>O143*K143</f>
        <v/>
      </c>
      <c r="Q143" s="2" t="inlineStr">
        <is>
          <t>계약기간 만료에 따른 신규계약</t>
        </is>
      </c>
      <c r="R143" s="2" t="inlineStr">
        <is>
          <t>ㅇ 바코드 유무 : Y
ㅇ 구매속성 : IP구매
ㅇ 자재상태 : 0
ㅇ 검사속성 : 검사제외</t>
        </is>
      </c>
    </row>
    <row r="144">
      <c r="A144" s="2" t="n">
        <v>143</v>
      </c>
      <c r="B144" s="2" t="inlineStr">
        <is>
          <t>K9204034</t>
        </is>
      </c>
      <c r="C144" s="2" t="n"/>
      <c r="D144" s="2" t="inlineStr">
        <is>
          <t>10446926</t>
        </is>
      </c>
      <c r="E144" s="2" t="inlineStr">
        <is>
          <t>HAX_CTR8740 NODE LICENSE</t>
        </is>
      </c>
      <c r="F144" s="2" t="inlineStr">
        <is>
          <t>K9204034</t>
        </is>
      </c>
      <c r="G144" s="2" t="inlineStr">
        <is>
          <t>CTR 8740 노드 라이선스</t>
        </is>
      </c>
      <c r="H144" s="2" t="inlineStr">
        <is>
          <t>EA</t>
        </is>
      </c>
      <c r="I144" s="2" t="inlineStr">
        <is>
          <t>Aviat</t>
        </is>
      </c>
      <c r="J144" s="2" t="inlineStr">
        <is>
          <t>미국</t>
        </is>
      </c>
      <c r="K144" s="3" t="n">
        <v>2500000</v>
      </c>
      <c r="L144" s="3" t="n">
        <v>2425000</v>
      </c>
      <c r="M144" s="4">
        <f>K144-L144</f>
        <v/>
      </c>
      <c r="N144" s="5">
        <f>IF(K144=0,0,M144/K144)</f>
        <v/>
      </c>
      <c r="O144" s="6" t="n">
        <v>6</v>
      </c>
      <c r="P144" s="4">
        <f>O144*K144</f>
        <v/>
      </c>
      <c r="Q144" s="2" t="inlineStr">
        <is>
          <t>계약기간 만료에 따른 신규계약</t>
        </is>
      </c>
      <c r="R144" s="2" t="inlineStr">
        <is>
          <t>ㅇ 바코드 유무 : Y
ㅇ 구매속성 : IP구매
ㅇ 자재상태 : 0
ㅇ 검사속성 : 검사제외</t>
        </is>
      </c>
    </row>
    <row r="145">
      <c r="A145" s="2" t="n">
        <v>144</v>
      </c>
      <c r="B145" s="2" t="inlineStr">
        <is>
          <t>K9204035</t>
        </is>
      </c>
      <c r="C145" s="2" t="n"/>
      <c r="D145" s="2" t="inlineStr">
        <is>
          <t>10446928</t>
        </is>
      </c>
      <c r="E145" s="2" t="inlineStr">
        <is>
          <t>HAX_PROVISION PLUS WTM4500</t>
        </is>
      </c>
      <c r="F145" s="2" t="inlineStr">
        <is>
          <t>K9204035</t>
        </is>
      </c>
      <c r="G145" s="2" t="inlineStr">
        <is>
          <t>WTM 4500 NETCONF 연동 라이선스</t>
        </is>
      </c>
      <c r="H145" s="2" t="inlineStr">
        <is>
          <t>EA</t>
        </is>
      </c>
      <c r="I145" s="2" t="inlineStr">
        <is>
          <t>Aviat</t>
        </is>
      </c>
      <c r="J145" s="2" t="inlineStr">
        <is>
          <t>미국</t>
        </is>
      </c>
      <c r="K145" s="3" t="n">
        <v>400000</v>
      </c>
      <c r="L145" s="3" t="n">
        <v>388000</v>
      </c>
      <c r="M145" s="4">
        <f>K145-L145</f>
        <v/>
      </c>
      <c r="N145" s="5">
        <f>IF(K145=0,0,M145/K145)</f>
        <v/>
      </c>
      <c r="O145" s="3" t="n">
        <v>0</v>
      </c>
      <c r="P145" s="4">
        <f>O145*K145</f>
        <v/>
      </c>
      <c r="Q145" s="2" t="inlineStr">
        <is>
          <t>계약기간 만료에 따른 신규계약</t>
        </is>
      </c>
      <c r="R145" s="2" t="inlineStr">
        <is>
          <t>ㅇ 바코드 유무 : Y
ㅇ 구매속성 : IP구매
ㅇ 자재상태 : 0
ㅇ 검사속성 : 검사제외</t>
        </is>
      </c>
    </row>
    <row r="146">
      <c r="A146" s="2" t="n">
        <v>145</v>
      </c>
      <c r="B146" s="2" t="inlineStr">
        <is>
          <t>K9204036</t>
        </is>
      </c>
      <c r="C146" s="2" t="n"/>
      <c r="D146" s="2" t="inlineStr">
        <is>
          <t>10446930</t>
        </is>
      </c>
      <c r="E146" s="2" t="inlineStr">
        <is>
          <t>HAX_PROVISION PLUS CTR8740</t>
        </is>
      </c>
      <c r="F146" s="2" t="inlineStr">
        <is>
          <t>K9204036</t>
        </is>
      </c>
      <c r="G146" s="2" t="inlineStr">
        <is>
          <t>CTR 8740 NETCONF 연동 라이선스</t>
        </is>
      </c>
      <c r="H146" s="2" t="inlineStr">
        <is>
          <t>EA</t>
        </is>
      </c>
      <c r="I146" s="2" t="inlineStr">
        <is>
          <t>Aviat</t>
        </is>
      </c>
      <c r="J146" s="2" t="inlineStr">
        <is>
          <t>미국</t>
        </is>
      </c>
      <c r="K146" s="3" t="n">
        <v>400000</v>
      </c>
      <c r="L146" s="3" t="n">
        <v>388000</v>
      </c>
      <c r="M146" s="4">
        <f>K146-L146</f>
        <v/>
      </c>
      <c r="N146" s="5">
        <f>IF(K146=0,0,M146/K146)</f>
        <v/>
      </c>
      <c r="O146" s="3" t="n">
        <v>0</v>
      </c>
      <c r="P146" s="4">
        <f>O146*K146</f>
        <v/>
      </c>
      <c r="Q146" s="2" t="inlineStr">
        <is>
          <t>계약기간 만료에 따른 신규계약</t>
        </is>
      </c>
      <c r="R146" s="2" t="inlineStr">
        <is>
          <t>ㅇ 바코드 유무 : Y
ㅇ 구매속성 : IP구매
ㅇ 자재상태 : 0
ㅇ 검사속성 : 검사제외</t>
        </is>
      </c>
    </row>
    <row r="147">
      <c r="A147" s="2" t="n">
        <v>146</v>
      </c>
      <c r="B147" s="2" t="inlineStr">
        <is>
          <t>K9208698</t>
        </is>
      </c>
      <c r="C147" s="2" t="n"/>
      <c r="D147" s="2" t="inlineStr">
        <is>
          <t>10582837</t>
        </is>
      </c>
      <c r="E147" s="2" t="inlineStr">
        <is>
          <t>VR4 1RU CHASSIS</t>
        </is>
      </c>
      <c r="F147" s="2" t="inlineStr">
        <is>
          <t>K9208698</t>
        </is>
      </c>
      <c r="G147" s="2" t="inlineStr">
        <is>
          <t>TDM/IP 인터페이스 정합 IDU</t>
        </is>
      </c>
      <c r="H147" s="2" t="inlineStr">
        <is>
          <t>EA</t>
        </is>
      </c>
      <c r="I147" s="2" t="inlineStr">
        <is>
          <t>Aviat</t>
        </is>
      </c>
      <c r="J147" s="2" t="inlineStr">
        <is>
          <t>미국</t>
        </is>
      </c>
      <c r="K147" s="3" t="n">
        <v>2442678</v>
      </c>
      <c r="L147" s="3" t="n">
        <v>2393824</v>
      </c>
      <c r="M147" s="4">
        <f>K147-L147</f>
        <v/>
      </c>
      <c r="N147" s="5">
        <f>IF(K147=0,0,M147/K147)</f>
        <v/>
      </c>
      <c r="O147" s="6" t="n">
        <v>32</v>
      </c>
      <c r="P147" s="4">
        <f>O147*K147</f>
        <v/>
      </c>
      <c r="Q147" s="2" t="inlineStr">
        <is>
          <t>개량개선('24년)</t>
        </is>
      </c>
      <c r="R147" s="2" t="inlineStr">
        <is>
          <t>ㅇ 바코드 유무 : Y
ㅇ 구매속성 : IP구매
ㅇ 자재상태 : 24년 개량개선
ㅇ 검사속성 : 검사제외</t>
        </is>
      </c>
    </row>
    <row r="148">
      <c r="A148" s="2" t="n">
        <v>147</v>
      </c>
      <c r="B148" s="2" t="inlineStr">
        <is>
          <t>K9208699</t>
        </is>
      </c>
      <c r="C148" s="2" t="n"/>
      <c r="D148" s="2" t="inlineStr">
        <is>
          <t>10582859</t>
        </is>
      </c>
      <c r="E148" s="2" t="inlineStr">
        <is>
          <t>FAN-CV</t>
        </is>
      </c>
      <c r="F148" s="2" t="inlineStr">
        <is>
          <t>K9208699</t>
        </is>
      </c>
      <c r="G148" s="2" t="inlineStr">
        <is>
          <t>VR4 전용 팬 카드</t>
        </is>
      </c>
      <c r="H148" s="2" t="inlineStr">
        <is>
          <t>EA</t>
        </is>
      </c>
      <c r="I148" s="2" t="inlineStr">
        <is>
          <t>Aviat</t>
        </is>
      </c>
      <c r="J148" s="2" t="inlineStr">
        <is>
          <t>미국</t>
        </is>
      </c>
      <c r="K148" s="3" t="n">
        <v>174636</v>
      </c>
      <c r="L148" s="3" t="n">
        <v>171143</v>
      </c>
      <c r="M148" s="4">
        <f>K148-L148</f>
        <v/>
      </c>
      <c r="N148" s="5">
        <f>IF(K148=0,0,M148/K148)</f>
        <v/>
      </c>
      <c r="O148" s="6" t="n">
        <v>22</v>
      </c>
      <c r="P148" s="4">
        <f>O148*K148</f>
        <v/>
      </c>
      <c r="Q148" s="2" t="inlineStr">
        <is>
          <t>개량개선('24년)</t>
        </is>
      </c>
      <c r="R148" s="2" t="inlineStr">
        <is>
          <t>ㅇ 바코드 유무 : Y
ㅇ 구매속성 : IP구매
ㅇ 자재상태 : 24년 개량개선
ㅇ 검사속성 : 검사제외</t>
        </is>
      </c>
    </row>
    <row r="149">
      <c r="A149" s="2" t="n">
        <v>148</v>
      </c>
      <c r="B149" s="2" t="inlineStr">
        <is>
          <t>K9208700</t>
        </is>
      </c>
      <c r="C149" s="2" t="n"/>
      <c r="D149" s="2" t="inlineStr">
        <is>
          <t>10582881</t>
        </is>
      </c>
      <c r="E149" s="2" t="inlineStr">
        <is>
          <t>VR10 3RU CHASSIS</t>
        </is>
      </c>
      <c r="F149" s="2" t="inlineStr">
        <is>
          <t>K9208700</t>
        </is>
      </c>
      <c r="G149" s="2" t="inlineStr">
        <is>
          <t>TDM/IP 인터페이스 정합 IDU</t>
        </is>
      </c>
      <c r="H149" s="2" t="inlineStr">
        <is>
          <t>EA</t>
        </is>
      </c>
      <c r="I149" s="2" t="inlineStr">
        <is>
          <t>Aviat</t>
        </is>
      </c>
      <c r="J149" s="2" t="inlineStr">
        <is>
          <t>미국</t>
        </is>
      </c>
      <c r="K149" s="3" t="n">
        <v>5244380</v>
      </c>
      <c r="L149" s="3" t="n">
        <v>5139492</v>
      </c>
      <c r="M149" s="4">
        <f>K149-L149</f>
        <v/>
      </c>
      <c r="N149" s="5">
        <f>IF(K149=0,0,M149/K149)</f>
        <v/>
      </c>
      <c r="O149" s="6" t="n">
        <v>30</v>
      </c>
      <c r="P149" s="4">
        <f>O149*K149</f>
        <v/>
      </c>
      <c r="Q149" s="2" t="inlineStr">
        <is>
          <t>개량개선('24년)</t>
        </is>
      </c>
      <c r="R149" s="2" t="inlineStr">
        <is>
          <t>ㅇ 바코드 유무 : Y
ㅇ 구매속성 : IP구매
ㅇ 자재상태 : 24년 개량개선
ㅇ 검사속성 : 검사제외</t>
        </is>
      </c>
    </row>
    <row r="150">
      <c r="A150" s="2" t="n">
        <v>149</v>
      </c>
      <c r="B150" s="2" t="inlineStr">
        <is>
          <t>K9208701</t>
        </is>
      </c>
      <c r="C150" s="2" t="n"/>
      <c r="D150" s="2" t="inlineStr">
        <is>
          <t>10582901</t>
        </is>
      </c>
      <c r="E150" s="2" t="inlineStr">
        <is>
          <t>VR10 MC-MV</t>
        </is>
      </c>
      <c r="F150" s="2" t="inlineStr">
        <is>
          <t>K9208701</t>
        </is>
      </c>
      <c r="G150" s="2" t="inlineStr">
        <is>
          <t>메인 카드</t>
        </is>
      </c>
      <c r="H150" s="2" t="inlineStr">
        <is>
          <t>EA</t>
        </is>
      </c>
      <c r="I150" s="2" t="inlineStr">
        <is>
          <t>Aviat</t>
        </is>
      </c>
      <c r="J150" s="2" t="inlineStr">
        <is>
          <t>미국</t>
        </is>
      </c>
      <c r="K150" s="3" t="n">
        <v>1487695</v>
      </c>
      <c r="L150" s="3" t="n">
        <v>1457941</v>
      </c>
      <c r="M150" s="4">
        <f>K150-L150</f>
        <v/>
      </c>
      <c r="N150" s="5">
        <f>IF(K150=0,0,M150/K150)</f>
        <v/>
      </c>
      <c r="O150" s="6" t="n">
        <v>28</v>
      </c>
      <c r="P150" s="4">
        <f>O150*K150</f>
        <v/>
      </c>
      <c r="Q150" s="2" t="inlineStr">
        <is>
          <t>개량개선('24년)</t>
        </is>
      </c>
      <c r="R150" s="2" t="inlineStr">
        <is>
          <t>ㅇ 바코드 유무 : Y
ㅇ 구매속성 : IP구매
ㅇ 자재상태 : 24년 개량개선
ㅇ 검사속성 : 검사제외</t>
        </is>
      </c>
    </row>
    <row r="151">
      <c r="A151" s="2" t="n">
        <v>150</v>
      </c>
      <c r="B151" s="2" t="inlineStr">
        <is>
          <t>K9208702</t>
        </is>
      </c>
      <c r="C151" s="2" t="n"/>
      <c r="D151" s="2" t="inlineStr">
        <is>
          <t>10582903</t>
        </is>
      </c>
      <c r="E151" s="2" t="inlineStr">
        <is>
          <t>FAN-MV</t>
        </is>
      </c>
      <c r="F151" s="2" t="inlineStr">
        <is>
          <t>K9208702</t>
        </is>
      </c>
      <c r="G151" s="2" t="inlineStr">
        <is>
          <t>VR10 전용 팬 카드</t>
        </is>
      </c>
      <c r="H151" s="2" t="inlineStr">
        <is>
          <t>EA</t>
        </is>
      </c>
      <c r="I151" s="2" t="inlineStr">
        <is>
          <t>Aviat</t>
        </is>
      </c>
      <c r="J151" s="2" t="inlineStr">
        <is>
          <t>미국</t>
        </is>
      </c>
      <c r="K151" s="3" t="n">
        <v>776790</v>
      </c>
      <c r="L151" s="3" t="n">
        <v>761254</v>
      </c>
      <c r="M151" s="4">
        <f>K151-L151</f>
        <v/>
      </c>
      <c r="N151" s="5">
        <f>IF(K151=0,0,M151/K151)</f>
        <v/>
      </c>
      <c r="O151" s="6" t="n">
        <v>60</v>
      </c>
      <c r="P151" s="4">
        <f>O151*K151</f>
        <v/>
      </c>
      <c r="Q151" s="2" t="inlineStr">
        <is>
          <t>개량개선('24년)</t>
        </is>
      </c>
      <c r="R151" s="2" t="inlineStr">
        <is>
          <t>ㅇ 바코드 유무 : Y
ㅇ 구매속성 : IP구매
ㅇ 자재상태 : 24년 개량개선
ㅇ 검사속성 : 검사제외</t>
        </is>
      </c>
    </row>
    <row r="152">
      <c r="A152" s="2" t="n">
        <v>151</v>
      </c>
      <c r="B152" s="2" t="inlineStr">
        <is>
          <t>K9208703</t>
        </is>
      </c>
      <c r="C152" s="2" t="n"/>
      <c r="D152" s="2" t="inlineStr">
        <is>
          <t>10582905</t>
        </is>
      </c>
      <c r="E152" s="2" t="inlineStr">
        <is>
          <t>TERM-MV</t>
        </is>
      </c>
      <c r="F152" s="2" t="inlineStr">
        <is>
          <t>K9208703</t>
        </is>
      </c>
      <c r="G152" s="2" t="inlineStr">
        <is>
          <t>제어 및 클럭 인터페이스 카드</t>
        </is>
      </c>
      <c r="H152" s="2" t="inlineStr">
        <is>
          <t>EA</t>
        </is>
      </c>
      <c r="I152" s="2" t="inlineStr">
        <is>
          <t>Aviat</t>
        </is>
      </c>
      <c r="J152" s="2" t="inlineStr">
        <is>
          <t>미국</t>
        </is>
      </c>
      <c r="K152" s="3" t="n">
        <v>582357</v>
      </c>
      <c r="L152" s="3" t="n">
        <v>570710</v>
      </c>
      <c r="M152" s="4">
        <f>K152-L152</f>
        <v/>
      </c>
      <c r="N152" s="5">
        <f>IF(K152=0,0,M152/K152)</f>
        <v/>
      </c>
      <c r="O152" s="6" t="n">
        <v>30</v>
      </c>
      <c r="P152" s="4">
        <f>O152*K152</f>
        <v/>
      </c>
      <c r="Q152" s="2" t="inlineStr">
        <is>
          <t>개량개선('24년)</t>
        </is>
      </c>
      <c r="R152" s="2" t="inlineStr">
        <is>
          <t>ㅇ 바코드 유무 : Y
ㅇ 구매속성 : IP구매
ㅇ 자재상태 : 24년 개량개선
ㅇ 검사속성 : 검사제외</t>
        </is>
      </c>
    </row>
    <row r="153">
      <c r="A153" s="2" t="n">
        <v>152</v>
      </c>
      <c r="B153" s="2" t="inlineStr">
        <is>
          <t>K9208704</t>
        </is>
      </c>
      <c r="C153" s="2" t="n"/>
      <c r="D153" s="2" t="inlineStr">
        <is>
          <t>10582907</t>
        </is>
      </c>
      <c r="E153" s="2" t="inlineStr">
        <is>
          <t>PS-MV</t>
        </is>
      </c>
      <c r="F153" s="2" t="inlineStr">
        <is>
          <t>K9208704</t>
        </is>
      </c>
      <c r="G153" s="2" t="inlineStr">
        <is>
          <t>전원 카드</t>
        </is>
      </c>
      <c r="H153" s="2" t="inlineStr">
        <is>
          <t>EA</t>
        </is>
      </c>
      <c r="I153" s="2" t="inlineStr">
        <is>
          <t>Aviat</t>
        </is>
      </c>
      <c r="J153" s="2" t="inlineStr">
        <is>
          <t>미국</t>
        </is>
      </c>
      <c r="K153" s="3" t="n">
        <v>638577</v>
      </c>
      <c r="L153" s="3" t="n">
        <v>625805</v>
      </c>
      <c r="M153" s="4">
        <f>K153-L153</f>
        <v/>
      </c>
      <c r="N153" s="5">
        <f>IF(K153=0,0,M153/K153)</f>
        <v/>
      </c>
      <c r="O153" s="6" t="n">
        <v>60</v>
      </c>
      <c r="P153" s="4">
        <f>O153*K153</f>
        <v/>
      </c>
      <c r="Q153" s="2" t="inlineStr">
        <is>
          <t>개량개선('24년)</t>
        </is>
      </c>
      <c r="R153" s="2" t="inlineStr">
        <is>
          <t>ㅇ 바코드 유무 : Y
ㅇ 구매속성 : IP구매
ㅇ 자재상태 : 24년 개량개선
ㅇ 검사속성 : 검사제외</t>
        </is>
      </c>
    </row>
    <row r="154">
      <c r="A154" s="2" t="n">
        <v>153</v>
      </c>
      <c r="B154" s="2" t="inlineStr">
        <is>
          <t>K9208705</t>
        </is>
      </c>
      <c r="C154" s="2" t="n"/>
      <c r="D154" s="2" t="inlineStr">
        <is>
          <t>10582909</t>
        </is>
      </c>
      <c r="E154" s="2" t="inlineStr">
        <is>
          <t>MODEM-AV</t>
        </is>
      </c>
      <c r="F154" s="2" t="inlineStr">
        <is>
          <t>K9208705</t>
        </is>
      </c>
      <c r="G154" s="2" t="inlineStr">
        <is>
          <t>모뎀 카드</t>
        </is>
      </c>
      <c r="H154" s="2" t="inlineStr">
        <is>
          <t>EA</t>
        </is>
      </c>
      <c r="I154" s="2" t="inlineStr">
        <is>
          <t>Aviat</t>
        </is>
      </c>
      <c r="J154" s="2" t="inlineStr">
        <is>
          <t>미국</t>
        </is>
      </c>
      <c r="K154" s="3" t="n">
        <v>557078</v>
      </c>
      <c r="L154" s="3" t="n">
        <v>545936</v>
      </c>
      <c r="M154" s="4">
        <f>K154-L154</f>
        <v/>
      </c>
      <c r="N154" s="5">
        <f>IF(K154=0,0,M154/K154)</f>
        <v/>
      </c>
      <c r="O154" s="6" t="n">
        <v>186</v>
      </c>
      <c r="P154" s="4">
        <f>O154*K154</f>
        <v/>
      </c>
      <c r="Q154" s="2" t="inlineStr">
        <is>
          <t>개량개선('24년)</t>
        </is>
      </c>
      <c r="R154" s="2" t="inlineStr">
        <is>
          <t>ㅇ 바코드 유무 : Y
ㅇ 구매속성 : IP구매
ㅇ 자재상태 : 24년 개량개선
ㅇ 검사속성 : 검사제외</t>
        </is>
      </c>
    </row>
    <row r="155">
      <c r="A155" s="2" t="n">
        <v>154</v>
      </c>
      <c r="B155" s="2" t="inlineStr">
        <is>
          <t>K9208706</t>
        </is>
      </c>
      <c r="C155" s="2" t="n"/>
      <c r="D155" s="2" t="inlineStr">
        <is>
          <t>10582911</t>
        </is>
      </c>
      <c r="E155" s="2" t="inlineStr">
        <is>
          <t>GbE4f-AV</t>
        </is>
      </c>
      <c r="F155" s="2" t="inlineStr">
        <is>
          <t>K9208706</t>
        </is>
      </c>
      <c r="G155" s="2" t="inlineStr">
        <is>
          <t>1G Optical 이더넷 카드</t>
        </is>
      </c>
      <c r="H155" s="2" t="inlineStr">
        <is>
          <t>EA</t>
        </is>
      </c>
      <c r="I155" s="2" t="inlineStr">
        <is>
          <t>Aviat</t>
        </is>
      </c>
      <c r="J155" s="2" t="inlineStr">
        <is>
          <t>미국</t>
        </is>
      </c>
      <c r="K155" s="3" t="n">
        <v>927754</v>
      </c>
      <c r="L155" s="3" t="n">
        <v>909199</v>
      </c>
      <c r="M155" s="4">
        <f>K155-L155</f>
        <v/>
      </c>
      <c r="N155" s="5">
        <f>IF(K155=0,0,M155/K155)</f>
        <v/>
      </c>
      <c r="O155" s="6" t="n">
        <v>58</v>
      </c>
      <c r="P155" s="4">
        <f>O155*K155</f>
        <v/>
      </c>
      <c r="Q155" s="2" t="inlineStr">
        <is>
          <t>개량개선('24년)</t>
        </is>
      </c>
      <c r="R155" s="2" t="inlineStr">
        <is>
          <t>ㅇ 바코드 유무 : Y
ㅇ 구매속성 : IP구매
ㅇ 자재상태 : 24년 개량개선
ㅇ 검사속성 : 검사제외</t>
        </is>
      </c>
    </row>
    <row r="156">
      <c r="A156" s="2" t="n">
        <v>155</v>
      </c>
      <c r="B156" s="2" t="inlineStr">
        <is>
          <t>K9208707</t>
        </is>
      </c>
      <c r="C156" s="2" t="n"/>
      <c r="D156" s="2" t="inlineStr">
        <is>
          <t>10582839</t>
        </is>
      </c>
      <c r="E156" s="2" t="inlineStr">
        <is>
          <t>GbE4e-AV</t>
        </is>
      </c>
      <c r="F156" s="2" t="inlineStr">
        <is>
          <t>K9208707</t>
        </is>
      </c>
      <c r="G156" s="2" t="inlineStr">
        <is>
          <t>1G Electrical 이더넷 카드</t>
        </is>
      </c>
      <c r="H156" s="2" t="inlineStr">
        <is>
          <t>EA</t>
        </is>
      </c>
      <c r="I156" s="2" t="inlineStr">
        <is>
          <t>Aviat</t>
        </is>
      </c>
      <c r="J156" s="2" t="inlineStr">
        <is>
          <t>미국</t>
        </is>
      </c>
      <c r="K156" s="3" t="n">
        <v>974141</v>
      </c>
      <c r="L156" s="3" t="n">
        <v>954659</v>
      </c>
      <c r="M156" s="4">
        <f>K156-L156</f>
        <v/>
      </c>
      <c r="N156" s="5">
        <f>IF(K156=0,0,M156/K156)</f>
        <v/>
      </c>
      <c r="O156" s="6" t="n">
        <v>32</v>
      </c>
      <c r="P156" s="4">
        <f>O156*K156</f>
        <v/>
      </c>
      <c r="Q156" s="2" t="inlineStr">
        <is>
          <t>개량개선('24년)</t>
        </is>
      </c>
      <c r="R156" s="2" t="inlineStr">
        <is>
          <t>ㅇ 바코드 유무 : Y
ㅇ 구매속성 : IP구매
ㅇ 자재상태 : 24년 개량개선
ㅇ 검사속성 : 검사제외</t>
        </is>
      </c>
    </row>
    <row r="157">
      <c r="A157" s="2" t="n">
        <v>156</v>
      </c>
      <c r="B157" s="2" t="inlineStr">
        <is>
          <t>K9208708</t>
        </is>
      </c>
      <c r="C157" s="2" t="n"/>
      <c r="D157" s="2" t="inlineStr">
        <is>
          <t>10582841</t>
        </is>
      </c>
      <c r="E157" s="2" t="inlineStr">
        <is>
          <t>XGbE-MV</t>
        </is>
      </c>
      <c r="F157" s="2" t="inlineStr">
        <is>
          <t>K9208708</t>
        </is>
      </c>
      <c r="G157" s="2" t="inlineStr">
        <is>
          <t>10G Optical 이더넷 카드</t>
        </is>
      </c>
      <c r="H157" s="2" t="inlineStr">
        <is>
          <t>EA</t>
        </is>
      </c>
      <c r="I157" s="2" t="inlineStr">
        <is>
          <t>Aviat</t>
        </is>
      </c>
      <c r="J157" s="2" t="inlineStr">
        <is>
          <t>미국</t>
        </is>
      </c>
      <c r="K157" s="3" t="n">
        <v>1508220</v>
      </c>
      <c r="L157" s="3" t="n">
        <v>1478056</v>
      </c>
      <c r="M157" s="4">
        <f>K157-L157</f>
        <v/>
      </c>
      <c r="N157" s="5">
        <f>IF(K157=0,0,M157/K157)</f>
        <v/>
      </c>
      <c r="O157" s="6" t="n">
        <v>2</v>
      </c>
      <c r="P157" s="4">
        <f>O157*K157</f>
        <v/>
      </c>
      <c r="Q157" s="2" t="inlineStr">
        <is>
          <t>개량개선('24년)</t>
        </is>
      </c>
      <c r="R157" s="2" t="inlineStr">
        <is>
          <t>ㅇ 바코드 유무 : Y
ㅇ 구매속성 : IP구매
ㅇ 자재상태 : 24년 개량개선
ㅇ 검사속성 : 검사제외</t>
        </is>
      </c>
    </row>
    <row r="158">
      <c r="A158" s="2" t="n">
        <v>157</v>
      </c>
      <c r="B158" s="2" t="inlineStr">
        <is>
          <t>K9208709</t>
        </is>
      </c>
      <c r="C158" s="2" t="n"/>
      <c r="D158" s="2" t="inlineStr">
        <is>
          <t>10582843</t>
        </is>
      </c>
      <c r="E158" s="2" t="inlineStr">
        <is>
          <t>16E1-A</t>
        </is>
      </c>
      <c r="F158" s="2" t="inlineStr">
        <is>
          <t>K9208709</t>
        </is>
      </c>
      <c r="G158" s="2" t="inlineStr">
        <is>
          <t>16E1 카드</t>
        </is>
      </c>
      <c r="H158" s="2" t="inlineStr">
        <is>
          <t>EA</t>
        </is>
      </c>
      <c r="I158" s="2" t="inlineStr">
        <is>
          <t>Aviat</t>
        </is>
      </c>
      <c r="J158" s="2" t="inlineStr">
        <is>
          <t>미국</t>
        </is>
      </c>
      <c r="K158" s="3" t="n">
        <v>950776</v>
      </c>
      <c r="L158" s="3" t="n">
        <v>931761</v>
      </c>
      <c r="M158" s="4">
        <f>K158-L158</f>
        <v/>
      </c>
      <c r="N158" s="5">
        <f>IF(K158=0,0,M158/K158)</f>
        <v/>
      </c>
      <c r="O158" s="6" t="n">
        <v>4</v>
      </c>
      <c r="P158" s="4">
        <f>O158*K158</f>
        <v/>
      </c>
      <c r="Q158" s="2" t="inlineStr">
        <is>
          <t>개량개선('24년)</t>
        </is>
      </c>
      <c r="R158" s="2" t="inlineStr">
        <is>
          <t>ㅇ 바코드 유무 : Y
ㅇ 구매속성 : IP구매
ㅇ 자재상태 : 24년 개량개선
ㅇ 검사속성 : 검사제외</t>
        </is>
      </c>
    </row>
    <row r="159">
      <c r="A159" s="2" t="n">
        <v>158</v>
      </c>
      <c r="B159" s="2" t="inlineStr">
        <is>
          <t>K9208710</t>
        </is>
      </c>
      <c r="C159" s="2" t="n"/>
      <c r="D159" s="2" t="inlineStr">
        <is>
          <t>10582845</t>
        </is>
      </c>
      <c r="E159" s="2" t="inlineStr">
        <is>
          <t>STM1-A</t>
        </is>
      </c>
      <c r="F159" s="2" t="inlineStr">
        <is>
          <t>K9208710</t>
        </is>
      </c>
      <c r="G159" s="2" t="inlineStr">
        <is>
          <t>STM-1 카드</t>
        </is>
      </c>
      <c r="H159" s="2" t="inlineStr">
        <is>
          <t>EA</t>
        </is>
      </c>
      <c r="I159" s="2" t="inlineStr">
        <is>
          <t>Aviat</t>
        </is>
      </c>
      <c r="J159" s="2" t="inlineStr">
        <is>
          <t>미국</t>
        </is>
      </c>
      <c r="K159" s="3" t="n">
        <v>1232797</v>
      </c>
      <c r="L159" s="3" t="n">
        <v>1208141</v>
      </c>
      <c r="M159" s="4">
        <f>K159-L159</f>
        <v/>
      </c>
      <c r="N159" s="5">
        <f>IF(K159=0,0,M159/K159)</f>
        <v/>
      </c>
      <c r="O159" s="6" t="n">
        <v>16</v>
      </c>
      <c r="P159" s="4">
        <f>O159*K159</f>
        <v/>
      </c>
      <c r="Q159" s="2" t="inlineStr">
        <is>
          <t>개량개선('24년)</t>
        </is>
      </c>
      <c r="R159" s="2" t="inlineStr">
        <is>
          <t>ㅇ 바코드 유무 : Y
ㅇ 구매속성 : IP구매
ㅇ 자재상태 : 24년 개량개선
ㅇ 검사속성 : 검사제외</t>
        </is>
      </c>
    </row>
    <row r="160">
      <c r="A160" s="2" t="n">
        <v>159</v>
      </c>
      <c r="B160" s="2" t="inlineStr">
        <is>
          <t>K9208711</t>
        </is>
      </c>
      <c r="C160" s="2" t="n"/>
      <c r="D160" s="2" t="inlineStr">
        <is>
          <t>10582847</t>
        </is>
      </c>
      <c r="E160" s="2" t="inlineStr">
        <is>
          <t>MC-MV Redundancy</t>
        </is>
      </c>
      <c r="F160" s="2" t="inlineStr">
        <is>
          <t>K9208711</t>
        </is>
      </c>
      <c r="G160" s="2" t="inlineStr">
        <is>
          <t>메인 이중화 카드</t>
        </is>
      </c>
      <c r="H160" s="2" t="inlineStr">
        <is>
          <t>EA</t>
        </is>
      </c>
      <c r="I160" s="2" t="inlineStr">
        <is>
          <t>Aviat</t>
        </is>
      </c>
      <c r="J160" s="2" t="inlineStr">
        <is>
          <t>미국</t>
        </is>
      </c>
      <c r="K160" s="3" t="n">
        <v>1487695</v>
      </c>
      <c r="L160" s="3" t="n">
        <v>1457941</v>
      </c>
      <c r="M160" s="4">
        <f>K160-L160</f>
        <v/>
      </c>
      <c r="N160" s="5">
        <f>IF(K160=0,0,M160/K160)</f>
        <v/>
      </c>
      <c r="O160" s="6" t="n">
        <v>30</v>
      </c>
      <c r="P160" s="4">
        <f>O160*K160</f>
        <v/>
      </c>
      <c r="Q160" s="2" t="inlineStr">
        <is>
          <t>개량개선('24년)</t>
        </is>
      </c>
      <c r="R160" s="2" t="inlineStr">
        <is>
          <t>ㅇ 바코드 유무 : Y
ㅇ 구매속성 : IP구매
ㅇ 자재상태 : 24년 개량개선
ㅇ 검사속성 : 검사제외</t>
        </is>
      </c>
    </row>
    <row r="161">
      <c r="A161" s="2" t="n">
        <v>160</v>
      </c>
      <c r="B161" s="2" t="inlineStr">
        <is>
          <t>K9208712</t>
        </is>
      </c>
      <c r="C161" s="2" t="n"/>
      <c r="D161" s="2" t="inlineStr">
        <is>
          <t>10582849</t>
        </is>
      </c>
      <c r="E161" s="2" t="inlineStr">
        <is>
          <t>MSE-A</t>
        </is>
      </c>
      <c r="F161" s="2" t="inlineStr">
        <is>
          <t>K9208712</t>
        </is>
      </c>
      <c r="G161" s="2" t="inlineStr">
        <is>
          <t>TDM&lt;-&gt;IP Emulation 카드</t>
        </is>
      </c>
      <c r="H161" s="2" t="inlineStr">
        <is>
          <t>EA</t>
        </is>
      </c>
      <c r="I161" s="2" t="inlineStr">
        <is>
          <t>Aviat</t>
        </is>
      </c>
      <c r="J161" s="2" t="inlineStr">
        <is>
          <t>미국</t>
        </is>
      </c>
      <c r="K161" s="3" t="n">
        <v>1218005</v>
      </c>
      <c r="L161" s="3" t="n">
        <v>1193645</v>
      </c>
      <c r="M161" s="4">
        <f>K161-L161</f>
        <v/>
      </c>
      <c r="N161" s="5">
        <f>IF(K161=0,0,M161/K161)</f>
        <v/>
      </c>
      <c r="O161" s="3" t="n">
        <v>0</v>
      </c>
      <c r="P161" s="4">
        <f>O161*K161</f>
        <v/>
      </c>
      <c r="Q161" s="2" t="inlineStr">
        <is>
          <t>개량개선('24년)</t>
        </is>
      </c>
      <c r="R161" s="2" t="inlineStr">
        <is>
          <t>ㅇ 바코드 유무 : Y
ㅇ 구매속성 : IP구매
ㅇ 자재상태 : 24년 개량개선
ㅇ 검사속성 : 검사제외</t>
        </is>
      </c>
    </row>
    <row r="162">
      <c r="A162" s="2" t="n">
        <v>161</v>
      </c>
      <c r="B162" s="2" t="inlineStr">
        <is>
          <t>K9208713</t>
        </is>
      </c>
      <c r="C162" s="2" t="n"/>
      <c r="D162" s="2" t="inlineStr">
        <is>
          <t>10582851</t>
        </is>
      </c>
      <c r="E162" s="2" t="inlineStr">
        <is>
          <t>AUX-A</t>
        </is>
      </c>
      <c r="F162" s="2" t="inlineStr">
        <is>
          <t>K9208713</t>
        </is>
      </c>
      <c r="G162" s="2" t="inlineStr">
        <is>
          <t>외부알람 입출력 카드</t>
        </is>
      </c>
      <c r="H162" s="2" t="inlineStr">
        <is>
          <t>EA</t>
        </is>
      </c>
      <c r="I162" s="2" t="inlineStr">
        <is>
          <t>Aviat</t>
        </is>
      </c>
      <c r="J162" s="2" t="inlineStr">
        <is>
          <t>미국</t>
        </is>
      </c>
      <c r="K162" s="3" t="n">
        <v>389954</v>
      </c>
      <c r="L162" s="3" t="n">
        <v>382155</v>
      </c>
      <c r="M162" s="4">
        <f>K162-L162</f>
        <v/>
      </c>
      <c r="N162" s="5">
        <f>IF(K162=0,0,M162/K162)</f>
        <v/>
      </c>
      <c r="O162" s="3" t="n">
        <v>0</v>
      </c>
      <c r="P162" s="4">
        <f>O162*K162</f>
        <v/>
      </c>
      <c r="Q162" s="2" t="inlineStr">
        <is>
          <t>개량개선('24년)</t>
        </is>
      </c>
      <c r="R162" s="2" t="inlineStr">
        <is>
          <t>ㅇ 바코드 유무 : Y
ㅇ 구매속성 : IP구매
ㅇ 자재상태 : 24년 개량개선
ㅇ 검사속성 : 검사제외</t>
        </is>
      </c>
    </row>
    <row r="163">
      <c r="A163" s="2" t="n">
        <v>162</v>
      </c>
      <c r="B163" s="2" t="inlineStr">
        <is>
          <t>K9208714</t>
        </is>
      </c>
      <c r="C163" s="2" t="n"/>
      <c r="D163" s="2" t="inlineStr">
        <is>
          <t>10582853</t>
        </is>
      </c>
      <c r="E163" s="2" t="inlineStr">
        <is>
          <t>8GHz ODU IAP3 LOW</t>
        </is>
      </c>
      <c r="F163" s="2" t="inlineStr">
        <is>
          <t>K9208714</t>
        </is>
      </c>
      <c r="G163" s="2" t="inlineStr">
        <is>
          <t>8G 무선 모듈</t>
        </is>
      </c>
      <c r="H163" s="2" t="inlineStr">
        <is>
          <t>EA</t>
        </is>
      </c>
      <c r="I163" s="2" t="inlineStr">
        <is>
          <t>Aviat</t>
        </is>
      </c>
      <c r="J163" s="2" t="inlineStr">
        <is>
          <t>미국</t>
        </is>
      </c>
      <c r="K163" s="3" t="n">
        <v>3051169</v>
      </c>
      <c r="L163" s="3" t="n">
        <v>2990145</v>
      </c>
      <c r="M163" s="4">
        <f>K163-L163</f>
        <v/>
      </c>
      <c r="N163" s="5">
        <f>IF(K163=0,0,M163/K163)</f>
        <v/>
      </c>
      <c r="O163" s="6" t="n">
        <v>30</v>
      </c>
      <c r="P163" s="4">
        <f>O163*K163</f>
        <v/>
      </c>
      <c r="Q163" s="2" t="inlineStr">
        <is>
          <t>개량개선('24년)</t>
        </is>
      </c>
      <c r="R163" s="2" t="inlineStr">
        <is>
          <t>ㅇ 바코드 유무 : Y
ㅇ 구매속성 : IP구매
ㅇ 자재상태 : 24년 개량개선
ㅇ 검사속성 : 검사제외</t>
        </is>
      </c>
    </row>
    <row r="164">
      <c r="A164" s="2" t="n">
        <v>163</v>
      </c>
      <c r="B164" s="2" t="inlineStr">
        <is>
          <t>K9208715</t>
        </is>
      </c>
      <c r="C164" s="2" t="n"/>
      <c r="D164" s="2" t="inlineStr">
        <is>
          <t>10582855</t>
        </is>
      </c>
      <c r="E164" s="2" t="inlineStr">
        <is>
          <t>8GHz ODU IAP3 HIGH</t>
        </is>
      </c>
      <c r="F164" s="2" t="inlineStr">
        <is>
          <t>K9208715</t>
        </is>
      </c>
      <c r="G164" s="2" t="inlineStr">
        <is>
          <t>8G 무선 모듈</t>
        </is>
      </c>
      <c r="H164" s="2" t="inlineStr">
        <is>
          <t>EA</t>
        </is>
      </c>
      <c r="I164" s="2" t="inlineStr">
        <is>
          <t>Aviat</t>
        </is>
      </c>
      <c r="J164" s="2" t="inlineStr">
        <is>
          <t>미국</t>
        </is>
      </c>
      <c r="K164" s="3" t="n">
        <v>3051169</v>
      </c>
      <c r="L164" s="3" t="n">
        <v>2990145</v>
      </c>
      <c r="M164" s="4">
        <f>K164-L164</f>
        <v/>
      </c>
      <c r="N164" s="5">
        <f>IF(K164=0,0,M164/K164)</f>
        <v/>
      </c>
      <c r="O164" s="6" t="n">
        <v>30</v>
      </c>
      <c r="P164" s="4">
        <f>O164*K164</f>
        <v/>
      </c>
      <c r="Q164" s="2" t="inlineStr">
        <is>
          <t>개량개선('24년)</t>
        </is>
      </c>
      <c r="R164" s="2" t="inlineStr">
        <is>
          <t>ㅇ 바코드 유무 : Y
ㅇ 구매속성 : IP구매
ㅇ 자재상태 : 24년 개량개선
ㅇ 검사속성 : 검사제외</t>
        </is>
      </c>
    </row>
    <row r="165">
      <c r="A165" s="2" t="n">
        <v>164</v>
      </c>
      <c r="B165" s="2" t="inlineStr">
        <is>
          <t>K9208716</t>
        </is>
      </c>
      <c r="C165" s="2" t="n"/>
      <c r="D165" s="2" t="inlineStr">
        <is>
          <t>10582857</t>
        </is>
      </c>
      <c r="E165" s="2" t="inlineStr">
        <is>
          <t>11GHz ODU IAP3 LOW</t>
        </is>
      </c>
      <c r="F165" s="2" t="inlineStr">
        <is>
          <t>K9208716</t>
        </is>
      </c>
      <c r="G165" s="2" t="inlineStr">
        <is>
          <t>11G 무선 모듈</t>
        </is>
      </c>
      <c r="H165" s="2" t="inlineStr">
        <is>
          <t>EA</t>
        </is>
      </c>
      <c r="I165" s="2" t="inlineStr">
        <is>
          <t>Aviat</t>
        </is>
      </c>
      <c r="J165" s="2" t="inlineStr">
        <is>
          <t>미국</t>
        </is>
      </c>
      <c r="K165" s="3" t="n">
        <v>3051169</v>
      </c>
      <c r="L165" s="3" t="n">
        <v>2990145</v>
      </c>
      <c r="M165" s="4">
        <f>K165-L165</f>
        <v/>
      </c>
      <c r="N165" s="5">
        <f>IF(K165=0,0,M165/K165)</f>
        <v/>
      </c>
      <c r="O165" s="6" t="n">
        <v>30</v>
      </c>
      <c r="P165" s="4">
        <f>O165*K165</f>
        <v/>
      </c>
      <c r="Q165" s="2" t="inlineStr">
        <is>
          <t>개량개선('24년)</t>
        </is>
      </c>
      <c r="R165" s="2" t="inlineStr">
        <is>
          <t>ㅇ 바코드 유무 : Y
ㅇ 구매속성 : IP구매
ㅇ 자재상태 : 24년 개량개선
ㅇ 검사속성 : 검사제외</t>
        </is>
      </c>
    </row>
    <row r="166">
      <c r="A166" s="2" t="n">
        <v>165</v>
      </c>
      <c r="B166" s="2" t="inlineStr">
        <is>
          <t>K9208717</t>
        </is>
      </c>
      <c r="C166" s="2" t="n"/>
      <c r="D166" s="2" t="inlineStr">
        <is>
          <t>10582861</t>
        </is>
      </c>
      <c r="E166" s="2" t="inlineStr">
        <is>
          <t>11GHz ODU IAP3 HIGH</t>
        </is>
      </c>
      <c r="F166" s="2" t="inlineStr">
        <is>
          <t>K9208717</t>
        </is>
      </c>
      <c r="G166" s="2" t="inlineStr">
        <is>
          <t>11G 무선 모듈</t>
        </is>
      </c>
      <c r="H166" s="2" t="inlineStr">
        <is>
          <t>EA</t>
        </is>
      </c>
      <c r="I166" s="2" t="inlineStr">
        <is>
          <t>Aviat</t>
        </is>
      </c>
      <c r="J166" s="2" t="inlineStr">
        <is>
          <t>미국</t>
        </is>
      </c>
      <c r="K166" s="3" t="n">
        <v>3051169</v>
      </c>
      <c r="L166" s="3" t="n">
        <v>2990145</v>
      </c>
      <c r="M166" s="4">
        <f>K166-L166</f>
        <v/>
      </c>
      <c r="N166" s="5">
        <f>IF(K166=0,0,M166/K166)</f>
        <v/>
      </c>
      <c r="O166" s="6" t="n">
        <v>30</v>
      </c>
      <c r="P166" s="4">
        <f>O166*K166</f>
        <v/>
      </c>
      <c r="Q166" s="2" t="inlineStr">
        <is>
          <t>개량개선('24년)</t>
        </is>
      </c>
      <c r="R166" s="2" t="inlineStr">
        <is>
          <t>ㅇ 바코드 유무 : Y
ㅇ 구매속성 : IP구매
ㅇ 자재상태 : 24년 개량개선
ㅇ 검사속성 : 검사제외</t>
        </is>
      </c>
    </row>
    <row r="167">
      <c r="A167" s="2" t="n">
        <v>166</v>
      </c>
      <c r="B167" s="2" t="inlineStr">
        <is>
          <t>K9208718</t>
        </is>
      </c>
      <c r="C167" s="2" t="n"/>
      <c r="D167" s="2" t="inlineStr">
        <is>
          <t>10582863</t>
        </is>
      </c>
      <c r="E167" s="2" t="inlineStr">
        <is>
          <t>8G OBC2 CORE UNIT</t>
        </is>
      </c>
      <c r="F167" s="2" t="inlineStr">
        <is>
          <t>K9208718</t>
        </is>
      </c>
      <c r="G167" s="2" t="inlineStr">
        <is>
          <t>8G 채널 결합 유니트</t>
        </is>
      </c>
      <c r="H167" s="2" t="inlineStr">
        <is>
          <t>EA</t>
        </is>
      </c>
      <c r="I167" s="2" t="inlineStr">
        <is>
          <t>Aviat</t>
        </is>
      </c>
      <c r="J167" s="2" t="inlineStr">
        <is>
          <t>미국</t>
        </is>
      </c>
      <c r="K167" s="3" t="n">
        <v>925628</v>
      </c>
      <c r="L167" s="3" t="n">
        <v>907115</v>
      </c>
      <c r="M167" s="4">
        <f>K167-L167</f>
        <v/>
      </c>
      <c r="N167" s="5">
        <f>IF(K167=0,0,M167/K167)</f>
        <v/>
      </c>
      <c r="O167" s="6" t="n">
        <v>42</v>
      </c>
      <c r="P167" s="4">
        <f>O167*K167</f>
        <v/>
      </c>
      <c r="Q167" s="2" t="inlineStr">
        <is>
          <t>개량개선('24년)</t>
        </is>
      </c>
      <c r="R167" s="2" t="inlineStr">
        <is>
          <t>ㅇ 바코드 유무 : Y
ㅇ 구매속성 : IP구매
ㅇ 자재상태 : 24년 개량개선
ㅇ 검사속성 : 검사제외</t>
        </is>
      </c>
    </row>
    <row r="168">
      <c r="A168" s="2" t="n">
        <v>167</v>
      </c>
      <c r="B168" s="2" t="inlineStr">
        <is>
          <t>K9208719</t>
        </is>
      </c>
      <c r="C168" s="2" t="n"/>
      <c r="D168" s="2" t="inlineStr">
        <is>
          <t>10582865</t>
        </is>
      </c>
      <c r="E168" s="2" t="inlineStr">
        <is>
          <t>11G OBC2 CORE UNIT</t>
        </is>
      </c>
      <c r="F168" s="2" t="inlineStr">
        <is>
          <t>K9208719</t>
        </is>
      </c>
      <c r="G168" s="2" t="inlineStr">
        <is>
          <t>11G 채널 결합 유니트</t>
        </is>
      </c>
      <c r="H168" s="2" t="inlineStr">
        <is>
          <t>EA</t>
        </is>
      </c>
      <c r="I168" s="2" t="inlineStr">
        <is>
          <t>Aviat</t>
        </is>
      </c>
      <c r="J168" s="2" t="inlineStr">
        <is>
          <t>미국</t>
        </is>
      </c>
      <c r="K168" s="3" t="n">
        <v>925628</v>
      </c>
      <c r="L168" s="3" t="n">
        <v>907115</v>
      </c>
      <c r="M168" s="4">
        <f>K168-L168</f>
        <v/>
      </c>
      <c r="N168" s="5">
        <f>IF(K168=0,0,M168/K168)</f>
        <v/>
      </c>
      <c r="O168" s="3" t="n">
        <v>0</v>
      </c>
      <c r="P168" s="4">
        <f>O168*K168</f>
        <v/>
      </c>
      <c r="Q168" s="2" t="inlineStr">
        <is>
          <t>개량개선('24년)</t>
        </is>
      </c>
      <c r="R168" s="2" t="inlineStr">
        <is>
          <t>ㅇ 바코드 유무 : Y
ㅇ 구매속성 : IP구매
ㅇ 자재상태 : 24년 개량개선
ㅇ 검사속성 : 검사제외</t>
        </is>
      </c>
    </row>
    <row r="169">
      <c r="A169" s="2" t="n">
        <v>168</v>
      </c>
      <c r="B169" s="2" t="inlineStr">
        <is>
          <t>K9208720</t>
        </is>
      </c>
      <c r="C169" s="2" t="n"/>
      <c r="D169" s="2" t="inlineStr">
        <is>
          <t>10582867</t>
        </is>
      </c>
      <c r="E169" s="2" t="inlineStr">
        <is>
          <t>8G DUPLEXER UNIT</t>
        </is>
      </c>
      <c r="F169" s="2" t="inlineStr">
        <is>
          <t>K9208720</t>
        </is>
      </c>
      <c r="G169" s="2" t="inlineStr">
        <is>
          <t>8G 송수신 분리/결합 유니트</t>
        </is>
      </c>
      <c r="H169" s="2" t="inlineStr">
        <is>
          <t>EA</t>
        </is>
      </c>
      <c r="I169" s="2" t="inlineStr">
        <is>
          <t>Aviat</t>
        </is>
      </c>
      <c r="J169" s="2" t="inlineStr">
        <is>
          <t>미국</t>
        </is>
      </c>
      <c r="K169" s="3" t="n">
        <v>229635</v>
      </c>
      <c r="L169" s="3" t="n">
        <v>225042</v>
      </c>
      <c r="M169" s="4">
        <f>K169-L169</f>
        <v/>
      </c>
      <c r="N169" s="5">
        <f>IF(K169=0,0,M169/K169)</f>
        <v/>
      </c>
      <c r="O169" s="6" t="n">
        <v>10</v>
      </c>
      <c r="P169" s="4">
        <f>O169*K169</f>
        <v/>
      </c>
      <c r="Q169" s="2" t="inlineStr">
        <is>
          <t>개량개선('24년)</t>
        </is>
      </c>
      <c r="R169" s="2" t="inlineStr">
        <is>
          <t>ㅇ 바코드 유무 : Y
ㅇ 구매속성 : IP구매
ㅇ 자재상태 : 24년 개량개선
ㅇ 검사속성 : 검사제외</t>
        </is>
      </c>
    </row>
    <row r="170">
      <c r="A170" s="2" t="n">
        <v>169</v>
      </c>
      <c r="B170" s="2" t="inlineStr">
        <is>
          <t>K9208721</t>
        </is>
      </c>
      <c r="C170" s="2" t="n"/>
      <c r="D170" s="2" t="inlineStr">
        <is>
          <t>10582869</t>
        </is>
      </c>
      <c r="E170" s="2" t="inlineStr">
        <is>
          <t>11G DUPLEXER UNIT</t>
        </is>
      </c>
      <c r="F170" s="2" t="inlineStr">
        <is>
          <t>K9208721</t>
        </is>
      </c>
      <c r="G170" s="2" t="inlineStr">
        <is>
          <t>11G 송수신 분리/결합 유니트</t>
        </is>
      </c>
      <c r="H170" s="2" t="inlineStr">
        <is>
          <t>EA</t>
        </is>
      </c>
      <c r="I170" s="2" t="inlineStr">
        <is>
          <t>Aviat</t>
        </is>
      </c>
      <c r="J170" s="2" t="inlineStr">
        <is>
          <t>미국</t>
        </is>
      </c>
      <c r="K170" s="3" t="n">
        <v>229635</v>
      </c>
      <c r="L170" s="3" t="n">
        <v>225042</v>
      </c>
      <c r="M170" s="4">
        <f>K170-L170</f>
        <v/>
      </c>
      <c r="N170" s="5">
        <f>IF(K170=0,0,M170/K170)</f>
        <v/>
      </c>
      <c r="O170" s="6" t="n">
        <v>2</v>
      </c>
      <c r="P170" s="4">
        <f>O170*K170</f>
        <v/>
      </c>
      <c r="Q170" s="2" t="inlineStr">
        <is>
          <t>개량개선('24년)</t>
        </is>
      </c>
      <c r="R170" s="2" t="inlineStr">
        <is>
          <t>ㅇ 바코드 유무 : Y
ㅇ 구매속성 : IP구매
ㅇ 자재상태 : 24년 개량개선
ㅇ 검사속성 : 검사제외</t>
        </is>
      </c>
    </row>
    <row r="171">
      <c r="A171" s="2" t="n">
        <v>170</v>
      </c>
      <c r="B171" s="2" t="inlineStr">
        <is>
          <t>K9208722</t>
        </is>
      </c>
      <c r="C171" s="2" t="n"/>
      <c r="D171" s="2" t="inlineStr">
        <is>
          <t>10582871</t>
        </is>
      </c>
      <c r="E171" s="2" t="inlineStr">
        <is>
          <t>U-LINK</t>
        </is>
      </c>
      <c r="F171" s="2" t="inlineStr">
        <is>
          <t>K9208722</t>
        </is>
      </c>
      <c r="G171" s="2" t="inlineStr">
        <is>
          <t>채널 증설 브랜칭</t>
        </is>
      </c>
      <c r="H171" s="2" t="inlineStr">
        <is>
          <t>EA</t>
        </is>
      </c>
      <c r="I171" s="2" t="inlineStr">
        <is>
          <t>Aviat</t>
        </is>
      </c>
      <c r="J171" s="2" t="inlineStr">
        <is>
          <t>미국</t>
        </is>
      </c>
      <c r="K171" s="3" t="n">
        <v>109148</v>
      </c>
      <c r="L171" s="3" t="n">
        <v>106965</v>
      </c>
      <c r="M171" s="4">
        <f>K171-L171</f>
        <v/>
      </c>
      <c r="N171" s="5">
        <f>IF(K171=0,0,M171/K171)</f>
        <v/>
      </c>
      <c r="O171" s="6" t="n">
        <v>32</v>
      </c>
      <c r="P171" s="4">
        <f>O171*K171</f>
        <v/>
      </c>
      <c r="Q171" s="2" t="inlineStr">
        <is>
          <t>개량개선('24년)</t>
        </is>
      </c>
      <c r="R171" s="2" t="inlineStr">
        <is>
          <t>ㅇ 바코드 유무 : Y
ㅇ 구매속성 : IP구매
ㅇ 자재상태 : 24년 개량개선
ㅇ 검사속성 : 검사제외</t>
        </is>
      </c>
    </row>
    <row r="172">
      <c r="A172" s="2" t="n">
        <v>171</v>
      </c>
      <c r="B172" s="2" t="inlineStr">
        <is>
          <t>K9208723</t>
        </is>
      </c>
      <c r="C172" s="2" t="n"/>
      <c r="D172" s="2" t="inlineStr">
        <is>
          <t>10582873</t>
        </is>
      </c>
      <c r="E172" s="2" t="inlineStr">
        <is>
          <t>TERMINAL UNIT</t>
        </is>
      </c>
      <c r="F172" s="2" t="inlineStr">
        <is>
          <t>K9208723</t>
        </is>
      </c>
      <c r="G172" s="2" t="inlineStr">
        <is>
          <t>채널 터미네이션 유니트</t>
        </is>
      </c>
      <c r="H172" s="2" t="inlineStr">
        <is>
          <t>EA</t>
        </is>
      </c>
      <c r="I172" s="2" t="inlineStr">
        <is>
          <t>Aviat</t>
        </is>
      </c>
      <c r="J172" s="2" t="inlineStr">
        <is>
          <t>미국</t>
        </is>
      </c>
      <c r="K172" s="3" t="n">
        <v>104895</v>
      </c>
      <c r="L172" s="3" t="n">
        <v>102797</v>
      </c>
      <c r="M172" s="4">
        <f>K172-L172</f>
        <v/>
      </c>
      <c r="N172" s="5">
        <f>IF(K172=0,0,M172/K172)</f>
        <v/>
      </c>
      <c r="O172" s="6" t="n">
        <v>40</v>
      </c>
      <c r="P172" s="4">
        <f>O172*K172</f>
        <v/>
      </c>
      <c r="Q172" s="2" t="inlineStr">
        <is>
          <t>개량개선('24년)</t>
        </is>
      </c>
      <c r="R172" s="2" t="inlineStr">
        <is>
          <t>ㅇ 바코드 유무 : Y
ㅇ 구매속성 : IP구매
ㅇ 자재상태 : 24년 개량개선
ㅇ 검사속성 : 검사제외</t>
        </is>
      </c>
    </row>
    <row r="173">
      <c r="A173" s="2" t="n">
        <v>172</v>
      </c>
      <c r="B173" s="2" t="inlineStr">
        <is>
          <t>K9208724</t>
        </is>
      </c>
      <c r="C173" s="2" t="n"/>
      <c r="D173" s="2" t="inlineStr">
        <is>
          <t>10582875</t>
        </is>
      </c>
      <c r="E173" s="2" t="inlineStr">
        <is>
          <t>OBC2 Mounting Bracket Up to 4RF</t>
        </is>
      </c>
      <c r="F173" s="2" t="inlineStr">
        <is>
          <t>K9208724</t>
        </is>
      </c>
      <c r="G173" s="2" t="inlineStr">
        <is>
          <t>OBC2 4채널용 마운팅 브라켓</t>
        </is>
      </c>
      <c r="H173" s="2" t="inlineStr">
        <is>
          <t>EA</t>
        </is>
      </c>
      <c r="I173" s="2" t="inlineStr">
        <is>
          <t>Aviat</t>
        </is>
      </c>
      <c r="J173" s="2" t="inlineStr">
        <is>
          <t>미국</t>
        </is>
      </c>
      <c r="K173" s="3" t="n">
        <v>352958</v>
      </c>
      <c r="L173" s="3" t="n">
        <v>345899</v>
      </c>
      <c r="M173" s="4">
        <f>K173-L173</f>
        <v/>
      </c>
      <c r="N173" s="5">
        <f>IF(K173=0,0,M173/K173)</f>
        <v/>
      </c>
      <c r="O173" s="6" t="n">
        <v>18</v>
      </c>
      <c r="P173" s="4">
        <f>O173*K173</f>
        <v/>
      </c>
      <c r="Q173" s="2" t="inlineStr">
        <is>
          <t>개량개선('24년)</t>
        </is>
      </c>
      <c r="R173" s="2" t="inlineStr">
        <is>
          <t>ㅇ 바코드 유무 : Y
ㅇ 구매속성 : IP구매
ㅇ 자재상태 : 24년 개량개선
ㅇ 검사속성 : 검사제외</t>
        </is>
      </c>
    </row>
    <row r="174">
      <c r="A174" s="2" t="n">
        <v>173</v>
      </c>
      <c r="B174" s="2" t="inlineStr">
        <is>
          <t>K9208725</t>
        </is>
      </c>
      <c r="C174" s="2" t="n"/>
      <c r="D174" s="2" t="inlineStr">
        <is>
          <t>10582877</t>
        </is>
      </c>
      <c r="E174" s="2" t="inlineStr">
        <is>
          <t>OBC2 Mounting Bracket expand to 1RF</t>
        </is>
      </c>
      <c r="F174" s="2" t="inlineStr">
        <is>
          <t>K9208725</t>
        </is>
      </c>
      <c r="G174" s="2" t="inlineStr">
        <is>
          <t>OBC2 1채널용 증설 마운팅 브라켓</t>
        </is>
      </c>
      <c r="H174" s="2" t="inlineStr">
        <is>
          <t>EA</t>
        </is>
      </c>
      <c r="I174" s="2" t="inlineStr">
        <is>
          <t>Aviat</t>
        </is>
      </c>
      <c r="J174" s="2" t="inlineStr">
        <is>
          <t>미국</t>
        </is>
      </c>
      <c r="K174" s="3" t="n">
        <v>159784</v>
      </c>
      <c r="L174" s="3" t="n">
        <v>156588</v>
      </c>
      <c r="M174" s="4">
        <f>K174-L174</f>
        <v/>
      </c>
      <c r="N174" s="5">
        <f>IF(K174=0,0,M174/K174)</f>
        <v/>
      </c>
      <c r="O174" s="6" t="n">
        <v>18</v>
      </c>
      <c r="P174" s="4">
        <f>O174*K174</f>
        <v/>
      </c>
      <c r="Q174" s="2" t="inlineStr">
        <is>
          <t>개량개선('24년)</t>
        </is>
      </c>
      <c r="R174" s="2" t="inlineStr">
        <is>
          <t>ㅇ 바코드 유무 : Y
ㅇ 구매속성 : IP구매
ㅇ 자재상태 : 24년 개량개선
ㅇ 검사속성 : 검사제외</t>
        </is>
      </c>
    </row>
    <row r="175">
      <c r="A175" s="2" t="n">
        <v>174</v>
      </c>
      <c r="B175" s="2" t="inlineStr">
        <is>
          <t>K9208726</t>
        </is>
      </c>
      <c r="C175" s="2" t="n"/>
      <c r="D175" s="2" t="inlineStr">
        <is>
          <t>10582879</t>
        </is>
      </c>
      <c r="E175" s="2" t="inlineStr">
        <is>
          <t>7/8GHz FLAT HYBRID 7.125, Direct, UMT,3.7dB</t>
        </is>
      </c>
      <c r="F175" s="2" t="inlineStr">
        <is>
          <t>K9208726</t>
        </is>
      </c>
      <c r="G175" s="2" t="inlineStr">
        <is>
          <t>8G IAP3 결합용 커플러</t>
        </is>
      </c>
      <c r="H175" s="2" t="inlineStr">
        <is>
          <t>EA</t>
        </is>
      </c>
      <c r="I175" s="2" t="inlineStr">
        <is>
          <t>Aviat</t>
        </is>
      </c>
      <c r="J175" s="2" t="inlineStr">
        <is>
          <t>미국</t>
        </is>
      </c>
      <c r="K175" s="3" t="n">
        <v>1160933</v>
      </c>
      <c r="L175" s="3" t="n">
        <v>1137714</v>
      </c>
      <c r="M175" s="4">
        <f>K175-L175</f>
        <v/>
      </c>
      <c r="N175" s="5">
        <f>IF(K175=0,0,M175/K175)</f>
        <v/>
      </c>
      <c r="O175" s="6" t="n">
        <v>8</v>
      </c>
      <c r="P175" s="4">
        <f>O175*K175</f>
        <v/>
      </c>
      <c r="Q175" s="2" t="inlineStr">
        <is>
          <t>개량개선('24년)</t>
        </is>
      </c>
      <c r="R175" s="2" t="inlineStr">
        <is>
          <t>ㅇ 바코드 유무 : Y
ㅇ 구매속성 : IP구매
ㅇ 자재상태 : 24년 개량개선
ㅇ 검사속성 : 검사제외</t>
        </is>
      </c>
    </row>
    <row r="176">
      <c r="A176" s="2" t="n">
        <v>175</v>
      </c>
      <c r="B176" s="2" t="inlineStr">
        <is>
          <t>K9208727</t>
        </is>
      </c>
      <c r="C176" s="2" t="n"/>
      <c r="D176" s="2" t="inlineStr">
        <is>
          <t>10582883</t>
        </is>
      </c>
      <c r="E176" s="2" t="inlineStr">
        <is>
          <t>10/11GHz FLAT HYBRID 10.0, Direct, UMT,3.7dB</t>
        </is>
      </c>
      <c r="F176" s="2" t="inlineStr">
        <is>
          <t>K9208727</t>
        </is>
      </c>
      <c r="G176" s="2" t="inlineStr">
        <is>
          <t>11G IAP3 결합용 커플러</t>
        </is>
      </c>
      <c r="H176" s="2" t="inlineStr">
        <is>
          <t>EA</t>
        </is>
      </c>
      <c r="I176" s="2" t="inlineStr">
        <is>
          <t>Aviat</t>
        </is>
      </c>
      <c r="J176" s="2" t="inlineStr">
        <is>
          <t>미국</t>
        </is>
      </c>
      <c r="K176" s="3" t="n">
        <v>1160933</v>
      </c>
      <c r="L176" s="3" t="n">
        <v>1137714</v>
      </c>
      <c r="M176" s="4">
        <f>K176-L176</f>
        <v/>
      </c>
      <c r="N176" s="5">
        <f>IF(K176=0,0,M176/K176)</f>
        <v/>
      </c>
      <c r="O176" s="6" t="n">
        <v>38</v>
      </c>
      <c r="P176" s="4">
        <f>O176*K176</f>
        <v/>
      </c>
      <c r="Q176" s="2" t="inlineStr">
        <is>
          <t>개량개선('24년)</t>
        </is>
      </c>
      <c r="R176" s="2" t="inlineStr">
        <is>
          <t>ㅇ 바코드 유무 : Y
ㅇ 구매속성 : IP구매
ㅇ 자재상태 : 24년 개량개선
ㅇ 검사속성 : 검사제외</t>
        </is>
      </c>
    </row>
    <row r="177">
      <c r="A177" s="2" t="n">
        <v>176</v>
      </c>
      <c r="B177" s="2" t="inlineStr">
        <is>
          <t>K9208728</t>
        </is>
      </c>
      <c r="C177" s="2" t="n"/>
      <c r="D177" s="2" t="inlineStr">
        <is>
          <t>10582885</t>
        </is>
      </c>
      <c r="E177" s="2" t="inlineStr">
        <is>
          <t>7/8GHz IAP3 Mounting Bracket</t>
        </is>
      </c>
      <c r="F177" s="2" t="inlineStr">
        <is>
          <t>K9208728</t>
        </is>
      </c>
      <c r="G177" s="2" t="inlineStr">
        <is>
          <t>8G IAP3 마운팅 브라켓</t>
        </is>
      </c>
      <c r="H177" s="2" t="inlineStr">
        <is>
          <t>EA</t>
        </is>
      </c>
      <c r="I177" s="2" t="inlineStr">
        <is>
          <t>Aviat</t>
        </is>
      </c>
      <c r="J177" s="2" t="inlineStr">
        <is>
          <t>미국</t>
        </is>
      </c>
      <c r="K177" s="3" t="n">
        <v>299584</v>
      </c>
      <c r="L177" s="3" t="n">
        <v>293592</v>
      </c>
      <c r="M177" s="4">
        <f>K177-L177</f>
        <v/>
      </c>
      <c r="N177" s="5">
        <f>IF(K177=0,0,M177/K177)</f>
        <v/>
      </c>
      <c r="O177" s="6" t="n">
        <v>14</v>
      </c>
      <c r="P177" s="4">
        <f>O177*K177</f>
        <v/>
      </c>
      <c r="Q177" s="2" t="inlineStr">
        <is>
          <t>개량개선('24년)</t>
        </is>
      </c>
      <c r="R177" s="2" t="inlineStr">
        <is>
          <t>ㅇ 바코드 유무 : Y
ㅇ 구매속성 : IP구매
ㅇ 자재상태 : 24년 개량개선
ㅇ 검사속성 : 검사제외</t>
        </is>
      </c>
    </row>
    <row r="178">
      <c r="A178" s="2" t="n">
        <v>177</v>
      </c>
      <c r="B178" s="2" t="inlineStr">
        <is>
          <t>K9208729</t>
        </is>
      </c>
      <c r="C178" s="2" t="n"/>
      <c r="D178" s="2" t="inlineStr">
        <is>
          <t>10582887</t>
        </is>
      </c>
      <c r="E178" s="2" t="inlineStr">
        <is>
          <t>10/11GHz IAP3 Mounting Bracket</t>
        </is>
      </c>
      <c r="F178" s="2" t="inlineStr">
        <is>
          <t>K9208729</t>
        </is>
      </c>
      <c r="G178" s="2" t="inlineStr">
        <is>
          <t>11G IAP3 마운팅 브라켓</t>
        </is>
      </c>
      <c r="H178" s="2" t="inlineStr">
        <is>
          <t>EA</t>
        </is>
      </c>
      <c r="I178" s="2" t="inlineStr">
        <is>
          <t>Aviat</t>
        </is>
      </c>
      <c r="J178" s="2" t="inlineStr">
        <is>
          <t>미국</t>
        </is>
      </c>
      <c r="K178" s="3" t="n">
        <v>299584</v>
      </c>
      <c r="L178" s="3" t="n">
        <v>293592</v>
      </c>
      <c r="M178" s="4">
        <f>K178-L178</f>
        <v/>
      </c>
      <c r="N178" s="5">
        <f>IF(K178=0,0,M178/K178)</f>
        <v/>
      </c>
      <c r="O178" s="6" t="n">
        <v>28</v>
      </c>
      <c r="P178" s="4">
        <f>O178*K178</f>
        <v/>
      </c>
      <c r="Q178" s="2" t="inlineStr">
        <is>
          <t>개량개선('24년)</t>
        </is>
      </c>
      <c r="R178" s="2" t="inlineStr">
        <is>
          <t>ㅇ 바코드 유무 : Y
ㅇ 구매속성 : IP구매
ㅇ 자재상태 : 24년 개량개선
ㅇ 검사속성 : 검사제외</t>
        </is>
      </c>
    </row>
    <row r="179">
      <c r="A179" s="2" t="n">
        <v>178</v>
      </c>
      <c r="B179" s="2" t="inlineStr">
        <is>
          <t>K9208730</t>
        </is>
      </c>
      <c r="C179" s="2" t="n"/>
      <c r="D179" s="2" t="inlineStr">
        <is>
          <t>10582889</t>
        </is>
      </c>
      <c r="E179" s="2" t="inlineStr">
        <is>
          <t>E1 Single Cable, 15m, for VR4/VR10</t>
        </is>
      </c>
      <c r="F179" s="2" t="inlineStr">
        <is>
          <t>K9208730</t>
        </is>
      </c>
      <c r="G179" s="2" t="inlineStr">
        <is>
          <t>VR4/VR10 E1 케이블</t>
        </is>
      </c>
      <c r="H179" s="2" t="inlineStr">
        <is>
          <t>EA</t>
        </is>
      </c>
      <c r="I179" s="2" t="inlineStr">
        <is>
          <t>Aviat</t>
        </is>
      </c>
      <c r="J179" s="2" t="inlineStr">
        <is>
          <t>미국</t>
        </is>
      </c>
      <c r="K179" s="3" t="n">
        <v>199525</v>
      </c>
      <c r="L179" s="3" t="n">
        <v>195535</v>
      </c>
      <c r="M179" s="4">
        <f>K179-L179</f>
        <v/>
      </c>
      <c r="N179" s="5">
        <f>IF(K179=0,0,M179/K179)</f>
        <v/>
      </c>
      <c r="O179" s="6" t="n">
        <v>10</v>
      </c>
      <c r="P179" s="4">
        <f>O179*K179</f>
        <v/>
      </c>
      <c r="Q179" s="2" t="inlineStr">
        <is>
          <t>개량개선('24년)</t>
        </is>
      </c>
      <c r="R179" s="2" t="inlineStr">
        <is>
          <t>ㅇ 바코드 유무 : Y
ㅇ 구매속성 : IP구매
ㅇ 자재상태 : 24년 개량개선
ㅇ 검사속성 : 검사제외</t>
        </is>
      </c>
    </row>
    <row r="180">
      <c r="A180" s="2" t="n">
        <v>179</v>
      </c>
      <c r="B180" s="2" t="inlineStr">
        <is>
          <t>K9208731</t>
        </is>
      </c>
      <c r="C180" s="2" t="n"/>
      <c r="D180" s="2" t="inlineStr">
        <is>
          <t>10582891</t>
        </is>
      </c>
      <c r="E180" s="2" t="inlineStr">
        <is>
          <t>MODEM INDOOR JUMBER CABLE, 3m, FOR VR4/VR10</t>
        </is>
      </c>
      <c r="F180" s="2" t="inlineStr">
        <is>
          <t>K9208731</t>
        </is>
      </c>
      <c r="G180" s="2" t="inlineStr">
        <is>
          <t>모뎀 카드 연결용 IF 점퍼 케이블</t>
        </is>
      </c>
      <c r="H180" s="2" t="inlineStr">
        <is>
          <t>EA</t>
        </is>
      </c>
      <c r="I180" s="2" t="inlineStr">
        <is>
          <t>Aviat</t>
        </is>
      </c>
      <c r="J180" s="2" t="inlineStr">
        <is>
          <t>미국</t>
        </is>
      </c>
      <c r="K180" s="3" t="n">
        <v>59285</v>
      </c>
      <c r="L180" s="3" t="n">
        <v>58099</v>
      </c>
      <c r="M180" s="4">
        <f>K180-L180</f>
        <v/>
      </c>
      <c r="N180" s="5">
        <f>IF(K180=0,0,M180/K180)</f>
        <v/>
      </c>
      <c r="O180" s="6" t="n">
        <v>218</v>
      </c>
      <c r="P180" s="4">
        <f>O180*K180</f>
        <v/>
      </c>
      <c r="Q180" s="2" t="inlineStr">
        <is>
          <t>개량개선('24년)</t>
        </is>
      </c>
      <c r="R180" s="2" t="inlineStr">
        <is>
          <t>ㅇ 바코드 유무 : Y
ㅇ 구매속성 : IP구매
ㅇ 자재상태 : 24년 개량개선
ㅇ 검사속성 : 검사제외</t>
        </is>
      </c>
    </row>
    <row r="181">
      <c r="A181" s="2" t="n">
        <v>180</v>
      </c>
      <c r="B181" s="2" t="inlineStr">
        <is>
          <t>K9208732</t>
        </is>
      </c>
      <c r="C181" s="2" t="n"/>
      <c r="D181" s="2" t="inlineStr">
        <is>
          <t>10582893</t>
        </is>
      </c>
      <c r="E181" s="2" t="inlineStr">
        <is>
          <t>HEAD SET</t>
        </is>
      </c>
      <c r="F181" s="2" t="inlineStr">
        <is>
          <t>K9208732</t>
        </is>
      </c>
      <c r="G181" s="2" t="inlineStr">
        <is>
          <t>Orderwir 이어폰</t>
        </is>
      </c>
      <c r="H181" s="2" t="inlineStr">
        <is>
          <t>EA</t>
        </is>
      </c>
      <c r="I181" s="2" t="inlineStr">
        <is>
          <t>Aviat</t>
        </is>
      </c>
      <c r="J181" s="2" t="inlineStr">
        <is>
          <t>미국</t>
        </is>
      </c>
      <c r="K181" s="3" t="n">
        <v>89594</v>
      </c>
      <c r="L181" s="3" t="n">
        <v>87802</v>
      </c>
      <c r="M181" s="4">
        <f>K181-L181</f>
        <v/>
      </c>
      <c r="N181" s="5">
        <f>IF(K181=0,0,M181/K181)</f>
        <v/>
      </c>
      <c r="O181" s="3" t="n">
        <v>0</v>
      </c>
      <c r="P181" s="4">
        <f>O181*K181</f>
        <v/>
      </c>
      <c r="Q181" s="2" t="inlineStr">
        <is>
          <t>개량개선('24년)</t>
        </is>
      </c>
      <c r="R181" s="2" t="inlineStr">
        <is>
          <t>ㅇ 바코드 유무 : Y
ㅇ 구매속성 : IP구매
ㅇ 자재상태 : 24년 개량개선
ㅇ 검사속성 : 검사제외</t>
        </is>
      </c>
    </row>
    <row r="182">
      <c r="A182" s="2" t="n">
        <v>181</v>
      </c>
      <c r="B182" s="2" t="inlineStr">
        <is>
          <t>K9208733</t>
        </is>
      </c>
      <c r="C182" s="2" t="n"/>
      <c r="D182" s="2" t="inlineStr">
        <is>
          <t>10582895</t>
        </is>
      </c>
      <c r="E182" s="2" t="inlineStr">
        <is>
          <t>VR4 Node License</t>
        </is>
      </c>
      <c r="F182" s="2" t="inlineStr">
        <is>
          <t>K9208733</t>
        </is>
      </c>
      <c r="G182" s="2" t="inlineStr">
        <is>
          <t>VR4 구동 라이선스</t>
        </is>
      </c>
      <c r="H182" s="2" t="inlineStr">
        <is>
          <t>EA</t>
        </is>
      </c>
      <c r="I182" s="2" t="inlineStr">
        <is>
          <t>Aviat</t>
        </is>
      </c>
      <c r="J182" s="2" t="inlineStr">
        <is>
          <t>미국</t>
        </is>
      </c>
      <c r="K182" s="3" t="n">
        <v>525000</v>
      </c>
      <c r="L182" s="3" t="n">
        <v>514500</v>
      </c>
      <c r="M182" s="4">
        <f>K182-L182</f>
        <v/>
      </c>
      <c r="N182" s="5">
        <f>IF(K182=0,0,M182/K182)</f>
        <v/>
      </c>
      <c r="O182" s="6" t="n">
        <v>22</v>
      </c>
      <c r="P182" s="4">
        <f>O182*K182</f>
        <v/>
      </c>
      <c r="Q182" s="2" t="inlineStr">
        <is>
          <t>개량개선('24년)</t>
        </is>
      </c>
      <c r="R182" s="2" t="inlineStr">
        <is>
          <t>ㅇ 바코드 유무 : Y
ㅇ 구매속성 : IP구매
ㅇ 자재상태 : 24년 개량개선
ㅇ 검사속성 : 검사제외</t>
        </is>
      </c>
    </row>
    <row r="183">
      <c r="A183" s="2" t="n">
        <v>182</v>
      </c>
      <c r="B183" s="2" t="inlineStr">
        <is>
          <t>K9208734</t>
        </is>
      </c>
      <c r="C183" s="2" t="n"/>
      <c r="D183" s="2" t="inlineStr">
        <is>
          <t>10582897</t>
        </is>
      </c>
      <c r="E183" s="2" t="inlineStr">
        <is>
          <t>VR10 Node License</t>
        </is>
      </c>
      <c r="F183" s="2" t="inlineStr">
        <is>
          <t>K9208734</t>
        </is>
      </c>
      <c r="G183" s="2" t="inlineStr">
        <is>
          <t>VR10 구동 라이선스</t>
        </is>
      </c>
      <c r="H183" s="2" t="inlineStr">
        <is>
          <t>EA</t>
        </is>
      </c>
      <c r="I183" s="2" t="inlineStr">
        <is>
          <t>Aviat</t>
        </is>
      </c>
      <c r="J183" s="2" t="inlineStr">
        <is>
          <t>미국</t>
        </is>
      </c>
      <c r="K183" s="3" t="n">
        <v>1050000</v>
      </c>
      <c r="L183" s="3" t="n">
        <v>1029000</v>
      </c>
      <c r="M183" s="4">
        <f>K183-L183</f>
        <v/>
      </c>
      <c r="N183" s="5">
        <f>IF(K183=0,0,M183/K183)</f>
        <v/>
      </c>
      <c r="O183" s="6" t="n">
        <v>30</v>
      </c>
      <c r="P183" s="4">
        <f>O183*K183</f>
        <v/>
      </c>
      <c r="Q183" s="2" t="inlineStr">
        <is>
          <t>개량개선('24년)</t>
        </is>
      </c>
      <c r="R183" s="2" t="inlineStr">
        <is>
          <t>ㅇ 바코드 유무 : Y
ㅇ 구매속성 : IP구매
ㅇ 자재상태 : 24년 개량개선
ㅇ 검사속성 : 검사제외</t>
        </is>
      </c>
    </row>
    <row r="184">
      <c r="A184" s="2" t="n">
        <v>183</v>
      </c>
      <c r="B184" s="2" t="inlineStr">
        <is>
          <t>K9208735</t>
        </is>
      </c>
      <c r="C184" s="2" t="n"/>
      <c r="D184" s="2" t="inlineStr">
        <is>
          <t>10582899</t>
        </is>
      </c>
      <c r="E184" s="2" t="inlineStr">
        <is>
          <t>PROVISION PLUS_500Node 기준</t>
        </is>
      </c>
      <c r="F184" s="2" t="inlineStr">
        <is>
          <t>K9208735</t>
        </is>
      </c>
      <c r="G184" s="2" t="inlineStr">
        <is>
          <t>EMS 소프트웨어</t>
        </is>
      </c>
      <c r="H184" s="2" t="inlineStr">
        <is>
          <t>EA</t>
        </is>
      </c>
      <c r="I184" s="2" t="inlineStr">
        <is>
          <t>Aviat</t>
        </is>
      </c>
      <c r="J184" s="2" t="inlineStr">
        <is>
          <t>미국</t>
        </is>
      </c>
      <c r="K184" s="3" t="n">
        <v>31893750</v>
      </c>
      <c r="L184" s="3" t="n">
        <v>31255875</v>
      </c>
      <c r="M184" s="4">
        <f>K184-L184</f>
        <v/>
      </c>
      <c r="N184" s="5">
        <f>IF(K184=0,0,M184/K184)</f>
        <v/>
      </c>
      <c r="O184" s="3" t="n">
        <v>0</v>
      </c>
      <c r="P184" s="4">
        <f>O184*K184</f>
        <v/>
      </c>
      <c r="Q184" s="2" t="inlineStr">
        <is>
          <t>개량개선('24년)</t>
        </is>
      </c>
      <c r="R184" s="2" t="inlineStr">
        <is>
          <t>ㅇ 바코드 유무 : Y
ㅇ 구매속성 : IP구매
ㅇ 자재상태 : 24년 개량개선
ㅇ 검사속성 : 검사제외</t>
        </is>
      </c>
    </row>
    <row r="185">
      <c r="A185" s="2" t="n">
        <v>184</v>
      </c>
      <c r="B185" s="2" t="inlineStr">
        <is>
          <t>K9210610</t>
        </is>
      </c>
      <c r="C185" s="2" t="n"/>
      <c r="D185" s="2" t="inlineStr">
        <is>
          <t>10637562</t>
        </is>
      </c>
      <c r="E185" s="2" t="inlineStr">
        <is>
          <t>HAX_WTM 4500XT 4GHz</t>
        </is>
      </c>
      <c r="F185" s="2" t="inlineStr">
        <is>
          <t>K9210610</t>
        </is>
      </c>
      <c r="G185" s="2" t="inlineStr">
        <is>
          <t>4G밴드 무선 모듈</t>
        </is>
      </c>
      <c r="H185" s="2" t="inlineStr">
        <is>
          <t>EA</t>
        </is>
      </c>
      <c r="I185" s="2" t="inlineStr">
        <is>
          <t>Aviat</t>
        </is>
      </c>
      <c r="J185" s="2" t="inlineStr">
        <is>
          <t>미국</t>
        </is>
      </c>
      <c r="K185" s="3" t="n">
        <v>6000000</v>
      </c>
      <c r="L185" s="3" t="n">
        <v>5880000</v>
      </c>
      <c r="M185" s="4">
        <f>K185-L185</f>
        <v/>
      </c>
      <c r="N185" s="5">
        <f>IF(K185=0,0,M185/K185)</f>
        <v/>
      </c>
      <c r="O185" s="6" t="n">
        <v>12</v>
      </c>
      <c r="P185" s="4">
        <f>O185*K185</f>
        <v/>
      </c>
      <c r="Q185" s="2" t="inlineStr">
        <is>
          <t>개량개선('25년)</t>
        </is>
      </c>
      <c r="R185" s="2" t="inlineStr">
        <is>
          <t>ㅇ 바코드 유무 : Y
ㅇ 구매속성 : IP구매
ㅇ 자재상태 : 25년 개량개선
ㅇ 검사속성 : 검사제외</t>
        </is>
      </c>
    </row>
    <row r="186">
      <c r="A186" s="2" t="n">
        <v>185</v>
      </c>
      <c r="B186" s="2" t="inlineStr">
        <is>
          <t>K9210611</t>
        </is>
      </c>
      <c r="C186" s="2" t="n"/>
      <c r="D186" s="2" t="inlineStr">
        <is>
          <t>10637584</t>
        </is>
      </c>
      <c r="E186" s="2" t="inlineStr">
        <is>
          <t>HAX_4GHz WBX 4 CHANNEL</t>
        </is>
      </c>
      <c r="F186" s="2" t="inlineStr">
        <is>
          <t>K9210611</t>
        </is>
      </c>
      <c r="G186" s="2" t="inlineStr">
        <is>
          <t>4G밴드 4채널 필터/결합 유니트</t>
        </is>
      </c>
      <c r="H186" s="2" t="inlineStr">
        <is>
          <t>EA</t>
        </is>
      </c>
      <c r="I186" s="2" t="inlineStr">
        <is>
          <t>Aviat</t>
        </is>
      </c>
      <c r="J186" s="2" t="inlineStr">
        <is>
          <t>미국</t>
        </is>
      </c>
      <c r="K186" s="3" t="n">
        <v>6750000</v>
      </c>
      <c r="L186" s="3" t="n">
        <v>6615000</v>
      </c>
      <c r="M186" s="4">
        <f>K186-L186</f>
        <v/>
      </c>
      <c r="N186" s="5">
        <f>IF(K186=0,0,M186/K186)</f>
        <v/>
      </c>
      <c r="O186" s="6" t="n">
        <v>2</v>
      </c>
      <c r="P186" s="4">
        <f>O186*K186</f>
        <v/>
      </c>
      <c r="Q186" s="2" t="inlineStr">
        <is>
          <t>개량개선('25년)</t>
        </is>
      </c>
      <c r="R186" s="2" t="inlineStr">
        <is>
          <t>ㅇ 바코드 유무 : Y
ㅇ 구매속성 : IP구매
ㅇ 자재상태 : 25년 개량개선
ㅇ 검사속성 : 검사제외</t>
        </is>
      </c>
    </row>
    <row r="187">
      <c r="A187" s="2" t="n">
        <v>186</v>
      </c>
      <c r="B187" s="2" t="inlineStr">
        <is>
          <t>K9210612</t>
        </is>
      </c>
      <c r="C187" s="2" t="n"/>
      <c r="D187" s="2" t="inlineStr">
        <is>
          <t>10637606</t>
        </is>
      </c>
      <c r="E187" s="2" t="inlineStr">
        <is>
          <t>HAX_4GHz WBX 4 CHANNEL SD OPTION</t>
        </is>
      </c>
      <c r="F187" s="2" t="inlineStr">
        <is>
          <t>K9210612</t>
        </is>
      </c>
      <c r="G187" s="2" t="inlineStr">
        <is>
          <t>4G밴드 4채널 필터/결합 유니트(SD구성용)</t>
        </is>
      </c>
      <c r="H187" s="2" t="inlineStr">
        <is>
          <t>EA</t>
        </is>
      </c>
      <c r="I187" s="2" t="inlineStr">
        <is>
          <t>Aviat</t>
        </is>
      </c>
      <c r="J187" s="2" t="inlineStr">
        <is>
          <t>미국</t>
        </is>
      </c>
      <c r="K187" s="3" t="n">
        <v>4500000</v>
      </c>
      <c r="L187" s="3" t="n">
        <v>4410000</v>
      </c>
      <c r="M187" s="4">
        <f>K187-L187</f>
        <v/>
      </c>
      <c r="N187" s="5">
        <f>IF(K187=0,0,M187/K187)</f>
        <v/>
      </c>
      <c r="O187" s="6" t="n">
        <v>2</v>
      </c>
      <c r="P187" s="4">
        <f>O187*K187</f>
        <v/>
      </c>
      <c r="Q187" s="2" t="inlineStr">
        <is>
          <t>개량개선('25년)</t>
        </is>
      </c>
      <c r="R187" s="2" t="inlineStr">
        <is>
          <t>ㅇ 바코드 유무 : Y
ㅇ 구매속성 : IP구매
ㅇ 자재상태 : 25년 개량개선
ㅇ 검사속성 : 검사제외</t>
        </is>
      </c>
    </row>
    <row r="188">
      <c r="A188" s="2" t="n">
        <v>187</v>
      </c>
      <c r="B188" s="2" t="inlineStr">
        <is>
          <t>K9210613</t>
        </is>
      </c>
      <c r="C188" s="2" t="n"/>
      <c r="D188" s="2" t="inlineStr">
        <is>
          <t>10637610</t>
        </is>
      </c>
      <c r="E188" s="2" t="inlineStr">
        <is>
          <t>HAX_4GHz WBX 8 CHANNEL</t>
        </is>
      </c>
      <c r="F188" s="2" t="inlineStr">
        <is>
          <t>K9210613</t>
        </is>
      </c>
      <c r="G188" s="2" t="inlineStr">
        <is>
          <t>4G밴드 8채널 필터/결합 유니트</t>
        </is>
      </c>
      <c r="H188" s="2" t="inlineStr">
        <is>
          <t>EA</t>
        </is>
      </c>
      <c r="I188" s="2" t="inlineStr">
        <is>
          <t>Aviat</t>
        </is>
      </c>
      <c r="J188" s="2" t="inlineStr">
        <is>
          <t>미국</t>
        </is>
      </c>
      <c r="K188" s="3" t="n">
        <v>12000000</v>
      </c>
      <c r="L188" s="3" t="n">
        <v>11760000</v>
      </c>
      <c r="M188" s="4">
        <f>K188-L188</f>
        <v/>
      </c>
      <c r="N188" s="5">
        <f>IF(K188=0,0,M188/K188)</f>
        <v/>
      </c>
      <c r="O188" s="6" t="n">
        <v>2</v>
      </c>
      <c r="P188" s="4">
        <f>O188*K188</f>
        <v/>
      </c>
      <c r="Q188" s="2" t="inlineStr">
        <is>
          <t>개량개선('25년)</t>
        </is>
      </c>
      <c r="R188" s="2" t="inlineStr">
        <is>
          <t>ㅇ 바코드 유무 : Y
ㅇ 구매속성 : IP구매
ㅇ 자재상태 : 25년 개량개선
ㅇ 검사속성 : 검사제외</t>
        </is>
      </c>
    </row>
    <row r="189">
      <c r="A189" s="2" t="n">
        <v>188</v>
      </c>
      <c r="B189" s="2" t="inlineStr">
        <is>
          <t>K9210614</t>
        </is>
      </c>
      <c r="C189" s="2" t="n"/>
      <c r="D189" s="2" t="inlineStr">
        <is>
          <t>10637612</t>
        </is>
      </c>
      <c r="E189" s="2" t="inlineStr">
        <is>
          <t>HAX_4GHz WBX 8 CHANNEL SD OPTION</t>
        </is>
      </c>
      <c r="F189" s="2" t="inlineStr">
        <is>
          <t>K9210614</t>
        </is>
      </c>
      <c r="G189" s="2" t="inlineStr">
        <is>
          <t>4G밴드 8채널 필터/결합 유니트(SD구성용)</t>
        </is>
      </c>
      <c r="H189" s="2" t="inlineStr">
        <is>
          <t>EA</t>
        </is>
      </c>
      <c r="I189" s="2" t="inlineStr">
        <is>
          <t>Aviat</t>
        </is>
      </c>
      <c r="J189" s="2" t="inlineStr">
        <is>
          <t>미국</t>
        </is>
      </c>
      <c r="K189" s="3" t="n">
        <v>4500000</v>
      </c>
      <c r="L189" s="3" t="n">
        <v>4410000</v>
      </c>
      <c r="M189" s="4">
        <f>K189-L189</f>
        <v/>
      </c>
      <c r="N189" s="5">
        <f>IF(K189=0,0,M189/K189)</f>
        <v/>
      </c>
      <c r="O189" s="6" t="n">
        <v>2</v>
      </c>
      <c r="P189" s="4">
        <f>O189*K189</f>
        <v/>
      </c>
      <c r="Q189" s="2" t="inlineStr">
        <is>
          <t>개량개선('25년)</t>
        </is>
      </c>
      <c r="R189" s="2" t="inlineStr">
        <is>
          <t>ㅇ 바코드 유무 : Y
ㅇ 구매속성 : IP구매
ㅇ 자재상태 : 25년 개량개선
ㅇ 검사속성 : 검사제외</t>
        </is>
      </c>
    </row>
    <row r="190">
      <c r="A190" s="2" t="n">
        <v>189</v>
      </c>
      <c r="B190" s="2" t="inlineStr">
        <is>
          <t>K9210615</t>
        </is>
      </c>
      <c r="C190" s="2" t="n"/>
      <c r="D190" s="2" t="inlineStr">
        <is>
          <t>10637614</t>
        </is>
      </c>
      <c r="E190" s="2" t="inlineStr">
        <is>
          <t>HAX_L6GHz ODU IAP3 LOW</t>
        </is>
      </c>
      <c r="F190" s="2" t="inlineStr">
        <is>
          <t>K9210615</t>
        </is>
      </c>
      <c r="G190" s="2" t="inlineStr">
        <is>
          <t>L6G밴드 무선 모듈(TX LOW)</t>
        </is>
      </c>
      <c r="H190" s="2" t="inlineStr">
        <is>
          <t>EA</t>
        </is>
      </c>
      <c r="I190" s="2" t="inlineStr">
        <is>
          <t>Aviat</t>
        </is>
      </c>
      <c r="J190" s="2" t="inlineStr">
        <is>
          <t>미국</t>
        </is>
      </c>
      <c r="K190" s="3" t="n">
        <v>3051169</v>
      </c>
      <c r="L190" s="3" t="n">
        <v>2990140</v>
      </c>
      <c r="M190" s="4">
        <f>K190-L190</f>
        <v/>
      </c>
      <c r="N190" s="5">
        <f>IF(K190=0,0,M190/K190)</f>
        <v/>
      </c>
      <c r="O190" s="6" t="n">
        <v>5</v>
      </c>
      <c r="P190" s="4">
        <f>O190*K190</f>
        <v/>
      </c>
      <c r="Q190" s="2" t="inlineStr">
        <is>
          <t>개량개선('25년)</t>
        </is>
      </c>
      <c r="R190" s="2" t="inlineStr">
        <is>
          <t>ㅇ 바코드 유무 : Y
ㅇ 구매속성 : IP구매
ㅇ 자재상태 : 25년 개량개선
ㅇ 검사속성 : 검사제외</t>
        </is>
      </c>
    </row>
    <row r="191">
      <c r="A191" s="2" t="n">
        <v>190</v>
      </c>
      <c r="B191" s="2" t="inlineStr">
        <is>
          <t>K9210616</t>
        </is>
      </c>
      <c r="C191" s="2" t="n"/>
      <c r="D191" s="2" t="inlineStr">
        <is>
          <t>10637616</t>
        </is>
      </c>
      <c r="E191" s="2" t="inlineStr">
        <is>
          <t>HAX_L6GHz ODU IAP3 HIGH</t>
        </is>
      </c>
      <c r="F191" s="2" t="inlineStr">
        <is>
          <t>K9210616</t>
        </is>
      </c>
      <c r="G191" s="2" t="inlineStr">
        <is>
          <t>L6G밴드 무선 모듈(TX HIGH)</t>
        </is>
      </c>
      <c r="H191" s="2" t="inlineStr">
        <is>
          <t>EA</t>
        </is>
      </c>
      <c r="I191" s="2" t="inlineStr">
        <is>
          <t>Aviat</t>
        </is>
      </c>
      <c r="J191" s="2" t="inlineStr">
        <is>
          <t>미국</t>
        </is>
      </c>
      <c r="K191" s="3" t="n">
        <v>3051169</v>
      </c>
      <c r="L191" s="3" t="n">
        <v>2990140</v>
      </c>
      <c r="M191" s="4">
        <f>K191-L191</f>
        <v/>
      </c>
      <c r="N191" s="5">
        <f>IF(K191=0,0,M191/K191)</f>
        <v/>
      </c>
      <c r="O191" s="6" t="n">
        <v>5</v>
      </c>
      <c r="P191" s="4">
        <f>O191*K191</f>
        <v/>
      </c>
      <c r="Q191" s="2" t="inlineStr">
        <is>
          <t>개량개선('25년)</t>
        </is>
      </c>
      <c r="R191" s="2" t="inlineStr">
        <is>
          <t>ㅇ 바코드 유무 : Y
ㅇ 구매속성 : IP구매
ㅇ 자재상태 : 25년 개량개선
ㅇ 검사속성 : 검사제외</t>
        </is>
      </c>
    </row>
    <row r="192">
      <c r="A192" s="2" t="n">
        <v>191</v>
      </c>
      <c r="B192" s="2" t="inlineStr">
        <is>
          <t>K9210617</t>
        </is>
      </c>
      <c r="C192" s="2" t="n"/>
      <c r="D192" s="2" t="inlineStr">
        <is>
          <t>10637618</t>
        </is>
      </c>
      <c r="E192" s="2" t="inlineStr">
        <is>
          <t>HAX_U6GHz ODU IAP3 LOW</t>
        </is>
      </c>
      <c r="F192" s="2" t="inlineStr">
        <is>
          <t>K9210617</t>
        </is>
      </c>
      <c r="G192" s="2" t="inlineStr">
        <is>
          <t>U6G밴드 무선 모듈(TX LOW)</t>
        </is>
      </c>
      <c r="H192" s="2" t="inlineStr">
        <is>
          <t>EA</t>
        </is>
      </c>
      <c r="I192" s="2" t="inlineStr">
        <is>
          <t>Aviat</t>
        </is>
      </c>
      <c r="J192" s="2" t="inlineStr">
        <is>
          <t>미국</t>
        </is>
      </c>
      <c r="K192" s="3" t="n">
        <v>3051169</v>
      </c>
      <c r="L192" s="3" t="n">
        <v>2990140</v>
      </c>
      <c r="M192" s="4">
        <f>K192-L192</f>
        <v/>
      </c>
      <c r="N192" s="5">
        <f>IF(K192=0,0,M192/K192)</f>
        <v/>
      </c>
      <c r="O192" s="6" t="n">
        <v>20</v>
      </c>
      <c r="P192" s="4">
        <f>O192*K192</f>
        <v/>
      </c>
      <c r="Q192" s="2" t="inlineStr">
        <is>
          <t>개량개선('25년)</t>
        </is>
      </c>
      <c r="R192" s="2" t="inlineStr">
        <is>
          <t>ㅇ 바코드 유무 : Y
ㅇ 구매속성 : IP구매
ㅇ 자재상태 : 25년 개량개선
ㅇ 검사속성 : 검사제외</t>
        </is>
      </c>
    </row>
    <row r="193">
      <c r="A193" s="2" t="n">
        <v>192</v>
      </c>
      <c r="B193" s="2" t="inlineStr">
        <is>
          <t>K9210618</t>
        </is>
      </c>
      <c r="C193" s="2" t="n"/>
      <c r="D193" s="2" t="inlineStr">
        <is>
          <t>10637620</t>
        </is>
      </c>
      <c r="E193" s="2" t="inlineStr">
        <is>
          <t>HAX_U6GHz ODU IAP3 HIGH</t>
        </is>
      </c>
      <c r="F193" s="2" t="inlineStr">
        <is>
          <t>K9210618</t>
        </is>
      </c>
      <c r="G193" s="2" t="inlineStr">
        <is>
          <t>U6G밴드 무선 모듈(TX HIGH)</t>
        </is>
      </c>
      <c r="H193" s="2" t="inlineStr">
        <is>
          <t>EA</t>
        </is>
      </c>
      <c r="I193" s="2" t="inlineStr">
        <is>
          <t>Aviat</t>
        </is>
      </c>
      <c r="J193" s="2" t="inlineStr">
        <is>
          <t>미국</t>
        </is>
      </c>
      <c r="K193" s="3" t="n">
        <v>3051169</v>
      </c>
      <c r="L193" s="3" t="n">
        <v>2990140</v>
      </c>
      <c r="M193" s="4">
        <f>K193-L193</f>
        <v/>
      </c>
      <c r="N193" s="5">
        <f>IF(K193=0,0,M193/K193)</f>
        <v/>
      </c>
      <c r="O193" s="6" t="n">
        <v>20</v>
      </c>
      <c r="P193" s="4">
        <f>O193*K193</f>
        <v/>
      </c>
      <c r="Q193" s="2" t="inlineStr">
        <is>
          <t>개량개선('25년)</t>
        </is>
      </c>
      <c r="R193" s="2" t="inlineStr">
        <is>
          <t>ㅇ 바코드 유무 : Y
ㅇ 구매속성 : IP구매
ㅇ 자재상태 : 25년 개량개선
ㅇ 검사속성 : 검사제외</t>
        </is>
      </c>
    </row>
    <row r="194">
      <c r="A194" s="2" t="n">
        <v>193</v>
      </c>
      <c r="B194" s="2" t="inlineStr">
        <is>
          <t>K9210619</t>
        </is>
      </c>
      <c r="C194" s="2" t="n"/>
      <c r="D194" s="2" t="inlineStr">
        <is>
          <t>10637564</t>
        </is>
      </c>
      <c r="E194" s="2" t="inlineStr">
        <is>
          <t>6G OBC2 CORE UNIT</t>
        </is>
      </c>
      <c r="F194" s="2" t="inlineStr">
        <is>
          <t>K9210619</t>
        </is>
      </c>
      <c r="G194" s="2" t="inlineStr">
        <is>
          <t>6G밴드 채널 필터/결합 유니트</t>
        </is>
      </c>
      <c r="H194" s="2" t="inlineStr">
        <is>
          <t>EA</t>
        </is>
      </c>
      <c r="I194" s="2" t="inlineStr">
        <is>
          <t>Aviat</t>
        </is>
      </c>
      <c r="J194" s="2" t="inlineStr">
        <is>
          <t>미국</t>
        </is>
      </c>
      <c r="K194" s="3" t="n">
        <v>925628</v>
      </c>
      <c r="L194" s="3" t="n">
        <v>907110</v>
      </c>
      <c r="M194" s="4">
        <f>K194-L194</f>
        <v/>
      </c>
      <c r="N194" s="5">
        <f>IF(K194=0,0,M194/K194)</f>
        <v/>
      </c>
      <c r="O194" s="6" t="n">
        <v>48</v>
      </c>
      <c r="P194" s="4">
        <f>O194*K194</f>
        <v/>
      </c>
      <c r="Q194" s="2" t="inlineStr">
        <is>
          <t>개량개선('25년)</t>
        </is>
      </c>
      <c r="R194" s="2" t="inlineStr">
        <is>
          <t>ㅇ 바코드 유무 : Y
ㅇ 구매속성 : IP구매
ㅇ 자재상태 : 25년 개량개선
ㅇ 검사속성 : 검사제외</t>
        </is>
      </c>
    </row>
    <row r="195">
      <c r="A195" s="2" t="n">
        <v>194</v>
      </c>
      <c r="B195" s="2" t="inlineStr">
        <is>
          <t>K9210620</t>
        </is>
      </c>
      <c r="C195" s="2" t="n"/>
      <c r="D195" s="2" t="inlineStr">
        <is>
          <t>10637566</t>
        </is>
      </c>
      <c r="E195" s="2" t="inlineStr">
        <is>
          <t>6G DUPLEXER UNIT</t>
        </is>
      </c>
      <c r="F195" s="2" t="inlineStr">
        <is>
          <t>K9210620</t>
        </is>
      </c>
      <c r="G195" s="2" t="inlineStr">
        <is>
          <t>6G밴드 송수신 분리/결합 유니트</t>
        </is>
      </c>
      <c r="H195" s="2" t="inlineStr">
        <is>
          <t>EA</t>
        </is>
      </c>
      <c r="I195" s="2" t="inlineStr">
        <is>
          <t>Aviat</t>
        </is>
      </c>
      <c r="J195" s="2" t="inlineStr">
        <is>
          <t>미국</t>
        </is>
      </c>
      <c r="K195" s="3" t="n">
        <v>229635</v>
      </c>
      <c r="L195" s="3" t="n">
        <v>225040</v>
      </c>
      <c r="M195" s="4">
        <f>K195-L195</f>
        <v/>
      </c>
      <c r="N195" s="5">
        <f>IF(K195=0,0,M195/K195)</f>
        <v/>
      </c>
      <c r="O195" s="6" t="n">
        <v>12</v>
      </c>
      <c r="P195" s="4">
        <f>O195*K195</f>
        <v/>
      </c>
      <c r="Q195" s="2" t="inlineStr">
        <is>
          <t>개량개선('25년)</t>
        </is>
      </c>
      <c r="R195" s="2" t="inlineStr">
        <is>
          <t>ㅇ 바코드 유무 : Y
ㅇ 구매속성 : IP구매
ㅇ 자재상태 : 25년 개량개선
ㅇ 검사속성 : 검사제외</t>
        </is>
      </c>
    </row>
    <row r="196">
      <c r="A196" s="2" t="n">
        <v>195</v>
      </c>
      <c r="B196" s="2" t="inlineStr">
        <is>
          <t>K9210621</t>
        </is>
      </c>
      <c r="C196" s="2" t="n"/>
      <c r="D196" s="2" t="inlineStr">
        <is>
          <t>10637568</t>
        </is>
      </c>
      <c r="E196" s="2" t="inlineStr">
        <is>
          <t>6GHz FLAT HYBRID 5.900 Direct UMT 3.7dB</t>
        </is>
      </c>
      <c r="F196" s="2" t="inlineStr">
        <is>
          <t>K9210621</t>
        </is>
      </c>
      <c r="G196" s="2" t="inlineStr">
        <is>
          <t>6G IAP3 결합용 커플러</t>
        </is>
      </c>
      <c r="H196" s="2" t="inlineStr">
        <is>
          <t>EA</t>
        </is>
      </c>
      <c r="I196" s="2" t="inlineStr">
        <is>
          <t>Aviat</t>
        </is>
      </c>
      <c r="J196" s="2" t="inlineStr">
        <is>
          <t>미국</t>
        </is>
      </c>
      <c r="K196" s="3" t="n">
        <v>1160933</v>
      </c>
      <c r="L196" s="3" t="n">
        <v>1137710</v>
      </c>
      <c r="M196" s="4">
        <f>K196-L196</f>
        <v/>
      </c>
      <c r="N196" s="5">
        <f>IF(K196=0,0,M196/K196)</f>
        <v/>
      </c>
      <c r="O196" s="6" t="n">
        <v>4</v>
      </c>
      <c r="P196" s="4">
        <f>O196*K196</f>
        <v/>
      </c>
      <c r="Q196" s="2" t="inlineStr">
        <is>
          <t>개량개선('25년)</t>
        </is>
      </c>
      <c r="R196" s="2" t="inlineStr">
        <is>
          <t>ㅇ 바코드 유무 : Y
ㅇ 구매속성 : IP구매
ㅇ 자재상태 : 25년 개량개선
ㅇ 검사속성 : 검사제외</t>
        </is>
      </c>
    </row>
    <row r="197">
      <c r="A197" s="2" t="n">
        <v>196</v>
      </c>
      <c r="B197" s="2" t="inlineStr">
        <is>
          <t>K9210622</t>
        </is>
      </c>
      <c r="C197" s="2" t="n"/>
      <c r="D197" s="2" t="inlineStr">
        <is>
          <t>10637570</t>
        </is>
      </c>
      <c r="E197" s="2" t="inlineStr">
        <is>
          <t>6GHz IAP3 Mounting Bracket</t>
        </is>
      </c>
      <c r="F197" s="2" t="inlineStr">
        <is>
          <t>K9210622</t>
        </is>
      </c>
      <c r="G197" s="2" t="inlineStr">
        <is>
          <t>6G IAP3 마운팅 브라켓</t>
        </is>
      </c>
      <c r="H197" s="2" t="inlineStr">
        <is>
          <t>EA</t>
        </is>
      </c>
      <c r="I197" s="2" t="inlineStr">
        <is>
          <t>Aviat</t>
        </is>
      </c>
      <c r="J197" s="2" t="inlineStr">
        <is>
          <t>미국</t>
        </is>
      </c>
      <c r="K197" s="3" t="n">
        <v>299584</v>
      </c>
      <c r="L197" s="3" t="n">
        <v>293590</v>
      </c>
      <c r="M197" s="4">
        <f>K197-L197</f>
        <v/>
      </c>
      <c r="N197" s="5">
        <f>IF(K197=0,0,M197/K197)</f>
        <v/>
      </c>
      <c r="O197" s="6" t="n">
        <v>2</v>
      </c>
      <c r="P197" s="4">
        <f>O197*K197</f>
        <v/>
      </c>
      <c r="Q197" s="2" t="inlineStr">
        <is>
          <t>개량개선('25년)</t>
        </is>
      </c>
      <c r="R197" s="2" t="inlineStr">
        <is>
          <t>ㅇ 바코드 유무 : Y
ㅇ 구매속성 : IP구매
ㅇ 자재상태 : 25년 개량개선
ㅇ 검사속성 : 검사제외</t>
        </is>
      </c>
    </row>
    <row r="198">
      <c r="A198" s="2" t="n">
        <v>197</v>
      </c>
      <c r="B198" s="2" t="inlineStr">
        <is>
          <t>K9210623</t>
        </is>
      </c>
      <c r="C198" s="2" t="n"/>
      <c r="D198" s="2" t="inlineStr">
        <is>
          <t>10637572</t>
        </is>
      </c>
      <c r="E198" s="2" t="inlineStr">
        <is>
          <t>FLEXIBLE LMR 600 CABLE 4GHz 1500MM N-TYPE MALE</t>
        </is>
      </c>
      <c r="F198" s="2" t="inlineStr">
        <is>
          <t>K9210623</t>
        </is>
      </c>
      <c r="G198" s="2" t="inlineStr">
        <is>
          <t>4G밴드 후렉시블 KIT(MAIN용)</t>
        </is>
      </c>
      <c r="H198" s="2" t="inlineStr">
        <is>
          <t>EA</t>
        </is>
      </c>
      <c r="I198" s="2" t="inlineStr">
        <is>
          <t>Aviat</t>
        </is>
      </c>
      <c r="J198" s="2" t="inlineStr">
        <is>
          <t>미국</t>
        </is>
      </c>
      <c r="K198" s="3" t="n">
        <v>120000</v>
      </c>
      <c r="L198" s="3" t="n">
        <v>117600</v>
      </c>
      <c r="M198" s="4">
        <f>K198-L198</f>
        <v/>
      </c>
      <c r="N198" s="5">
        <f>IF(K198=0,0,M198/K198)</f>
        <v/>
      </c>
      <c r="O198" s="6" t="n">
        <v>12</v>
      </c>
      <c r="P198" s="4">
        <f>O198*K198</f>
        <v/>
      </c>
      <c r="Q198" s="2" t="inlineStr">
        <is>
          <t>개량개선('25년)</t>
        </is>
      </c>
      <c r="R198" s="2" t="inlineStr">
        <is>
          <t>ㅇ 바코드 유무 : N
ㅇ 구매속성 : IP구매
ㅇ 자재상태 : 25년 개량개선
ㅇ 검사속성 : 검사제외</t>
        </is>
      </c>
    </row>
    <row r="199">
      <c r="A199" s="2" t="n">
        <v>198</v>
      </c>
      <c r="B199" s="2" t="inlineStr">
        <is>
          <t>K9210624</t>
        </is>
      </c>
      <c r="C199" s="2" t="n"/>
      <c r="D199" s="2" t="inlineStr">
        <is>
          <t>10637574</t>
        </is>
      </c>
      <c r="E199" s="2" t="inlineStr">
        <is>
          <t>FLEXIBLE LDF4-50A CABLE 4GHz 2000MM N-TYPE MALE</t>
        </is>
      </c>
      <c r="F199" s="2" t="inlineStr">
        <is>
          <t>K9210624</t>
        </is>
      </c>
      <c r="G199" s="2" t="inlineStr">
        <is>
          <t>4G밴드 후렉시블 KIT(SD용)</t>
        </is>
      </c>
      <c r="H199" s="2" t="inlineStr">
        <is>
          <t>EA</t>
        </is>
      </c>
      <c r="I199" s="2" t="inlineStr">
        <is>
          <t>Aviat</t>
        </is>
      </c>
      <c r="J199" s="2" t="inlineStr">
        <is>
          <t>미국</t>
        </is>
      </c>
      <c r="K199" s="3" t="n">
        <v>150000</v>
      </c>
      <c r="L199" s="3" t="n">
        <v>147000</v>
      </c>
      <c r="M199" s="4">
        <f>K199-L199</f>
        <v/>
      </c>
      <c r="N199" s="5">
        <f>IF(K199=0,0,M199/K199)</f>
        <v/>
      </c>
      <c r="O199" s="6" t="n">
        <v>60</v>
      </c>
      <c r="P199" s="4">
        <f>O199*K199</f>
        <v/>
      </c>
      <c r="Q199" s="2" t="inlineStr">
        <is>
          <t>개량개선('25년)</t>
        </is>
      </c>
      <c r="R199" s="2" t="inlineStr">
        <is>
          <t>ㅇ 바코드 유무 : N
ㅇ 구매속성 : IP구매
ㅇ 자재상태 : 25년 개량개선
ㅇ 검사속성 : 검사제외</t>
        </is>
      </c>
    </row>
    <row r="200">
      <c r="A200" s="2" t="n">
        <v>199</v>
      </c>
      <c r="B200" s="2" t="inlineStr">
        <is>
          <t>K9210625</t>
        </is>
      </c>
      <c r="C200" s="2" t="n"/>
      <c r="D200" s="2" t="inlineStr">
        <is>
          <t>10637576</t>
        </is>
      </c>
      <c r="E200" s="2" t="inlineStr">
        <is>
          <t>N-TYPE MALE TO PDR48 ADAPTER 4GHz</t>
        </is>
      </c>
      <c r="F200" s="2" t="inlineStr">
        <is>
          <t>K9210625</t>
        </is>
      </c>
      <c r="G200" s="2" t="inlineStr">
        <is>
          <t>4G밴드 아답터</t>
        </is>
      </c>
      <c r="H200" s="2" t="inlineStr">
        <is>
          <t>EA</t>
        </is>
      </c>
      <c r="I200" s="2" t="inlineStr">
        <is>
          <t>Aviat</t>
        </is>
      </c>
      <c r="J200" s="2" t="inlineStr">
        <is>
          <t>미국</t>
        </is>
      </c>
      <c r="K200" s="3" t="n">
        <v>300000</v>
      </c>
      <c r="L200" s="3" t="n">
        <v>294000</v>
      </c>
      <c r="M200" s="4">
        <f>K200-L200</f>
        <v/>
      </c>
      <c r="N200" s="5">
        <f>IF(K200=0,0,M200/K200)</f>
        <v/>
      </c>
      <c r="O200" s="6" t="n">
        <v>12</v>
      </c>
      <c r="P200" s="4">
        <f>O200*K200</f>
        <v/>
      </c>
      <c r="Q200" s="2" t="inlineStr">
        <is>
          <t>개량개선('25년)</t>
        </is>
      </c>
      <c r="R200" s="2" t="inlineStr">
        <is>
          <t>ㅇ 바코드 유무 : N
ㅇ 구매속성 : IP구매
ㅇ 자재상태 : 25년 개량개선
ㅇ 검사속성 : 검사제외</t>
        </is>
      </c>
    </row>
    <row r="201">
      <c r="A201" s="2" t="n">
        <v>200</v>
      </c>
      <c r="B201" s="2" t="inlineStr">
        <is>
          <t>K9210626</t>
        </is>
      </c>
      <c r="C201" s="2" t="n"/>
      <c r="D201" s="2" t="inlineStr">
        <is>
          <t>10637578</t>
        </is>
      </c>
      <c r="E201" s="2" t="inlineStr">
        <is>
          <t>PDR48 FIXED CONNECTOR</t>
        </is>
      </c>
      <c r="F201" s="2" t="inlineStr">
        <is>
          <t>K9210626</t>
        </is>
      </c>
      <c r="G201" s="2" t="inlineStr">
        <is>
          <t>4G밴드 WG 콘넥터</t>
        </is>
      </c>
      <c r="H201" s="2" t="inlineStr">
        <is>
          <t>EA</t>
        </is>
      </c>
      <c r="I201" s="2" t="inlineStr">
        <is>
          <t>Aviat</t>
        </is>
      </c>
      <c r="J201" s="2" t="inlineStr">
        <is>
          <t>미국</t>
        </is>
      </c>
      <c r="K201" s="3" t="n">
        <v>450000</v>
      </c>
      <c r="L201" s="3" t="n">
        <v>441000</v>
      </c>
      <c r="M201" s="4">
        <f>K201-L201</f>
        <v/>
      </c>
      <c r="N201" s="5">
        <f>IF(K201=0,0,M201/K201)</f>
        <v/>
      </c>
      <c r="O201" s="6" t="n">
        <v>12</v>
      </c>
      <c r="P201" s="4">
        <f>O201*K201</f>
        <v/>
      </c>
      <c r="Q201" s="2" t="inlineStr">
        <is>
          <t>개량개선('25년)</t>
        </is>
      </c>
      <c r="R201" s="2" t="inlineStr">
        <is>
          <t>ㅇ 바코드 유무 : N
ㅇ 구매속성 : IP구매
ㅇ 자재상태 : 25년 개량개선
ㅇ 검사속성 : 검사제외</t>
        </is>
      </c>
    </row>
    <row r="202">
      <c r="A202" s="2" t="n">
        <v>201</v>
      </c>
      <c r="B202" s="2" t="inlineStr">
        <is>
          <t>K9210627</t>
        </is>
      </c>
      <c r="C202" s="2" t="n"/>
      <c r="D202" s="2" t="n">
        <v>10637580</v>
      </c>
      <c r="E202" s="2" t="inlineStr">
        <is>
          <t>STANDARD ELLIPTICAL WAVEGUIDE 1000MM</t>
        </is>
      </c>
      <c r="F202" s="2" t="inlineStr">
        <is>
          <t>K9210627</t>
        </is>
      </c>
      <c r="G202" s="2" t="inlineStr">
        <is>
          <t>4G밴드 WG</t>
        </is>
      </c>
      <c r="H202" s="2" t="inlineStr">
        <is>
          <t>EA</t>
        </is>
      </c>
      <c r="I202" s="2" t="inlineStr">
        <is>
          <t>Aviat</t>
        </is>
      </c>
      <c r="J202" s="2" t="inlineStr">
        <is>
          <t>미국</t>
        </is>
      </c>
      <c r="K202" s="3" t="n">
        <v>60000</v>
      </c>
      <c r="L202" s="3" t="n">
        <v>58800</v>
      </c>
      <c r="M202" s="4">
        <f>K202-L202</f>
        <v/>
      </c>
      <c r="N202" s="5">
        <f>IF(K202=0,0,M202/K202)</f>
        <v/>
      </c>
      <c r="O202" s="3" t="n">
        <v>0</v>
      </c>
      <c r="P202" s="4">
        <f>O202*K202</f>
        <v/>
      </c>
      <c r="Q202" s="2" t="inlineStr">
        <is>
          <t>개량개선('25년)</t>
        </is>
      </c>
      <c r="R202" s="2" t="inlineStr">
        <is>
          <t>ㅇ 바코드 유무 : N
ㅇ 구매속성 : IP구매
ㅇ 자재상태 : 25년 개량개선
ㅇ 검사속성 : 검사제외</t>
        </is>
      </c>
    </row>
    <row r="203">
      <c r="A203" s="2" t="n">
        <v>202</v>
      </c>
      <c r="B203" s="2" t="inlineStr">
        <is>
          <t>K9210628</t>
        </is>
      </c>
      <c r="C203" s="2" t="n"/>
      <c r="D203" s="2" t="n">
        <v>10637582</v>
      </c>
      <c r="E203" s="2" t="inlineStr">
        <is>
          <t>BUTTERFLY HANGER KIT</t>
        </is>
      </c>
      <c r="F203" s="2" t="inlineStr">
        <is>
          <t>K9210628</t>
        </is>
      </c>
      <c r="G203" s="2" t="inlineStr">
        <is>
          <t>4G밴드 WG 고정브라켓</t>
        </is>
      </c>
      <c r="H203" s="2" t="inlineStr">
        <is>
          <t>EA</t>
        </is>
      </c>
      <c r="I203" s="2" t="inlineStr">
        <is>
          <t>Aviat</t>
        </is>
      </c>
      <c r="J203" s="2" t="inlineStr">
        <is>
          <t>미국</t>
        </is>
      </c>
      <c r="K203" s="3" t="n">
        <v>40000</v>
      </c>
      <c r="L203" s="3" t="n">
        <v>39200</v>
      </c>
      <c r="M203" s="4">
        <f>K203-L203</f>
        <v/>
      </c>
      <c r="N203" s="5">
        <f>IF(K203=0,0,M203/K203)</f>
        <v/>
      </c>
      <c r="O203" s="3" t="n">
        <v>0</v>
      </c>
      <c r="P203" s="4">
        <f>O203*K203</f>
        <v/>
      </c>
      <c r="Q203" s="2" t="inlineStr">
        <is>
          <t>개량개선('25년)</t>
        </is>
      </c>
      <c r="R203" s="2" t="inlineStr">
        <is>
          <t>ㅇ 바코드 유무 : N
ㅇ 구매속성 : IP구매
ㅇ 자재상태 : 25년 개량개선
ㅇ 검사속성 : 검사제외</t>
        </is>
      </c>
    </row>
    <row r="204">
      <c r="A204" s="2" t="n">
        <v>203</v>
      </c>
      <c r="B204" s="2" t="inlineStr">
        <is>
          <t>K9210629</t>
        </is>
      </c>
      <c r="C204" s="2" t="n"/>
      <c r="D204" s="2" t="n">
        <v>10637586</v>
      </c>
      <c r="E204" s="2" t="inlineStr">
        <is>
          <t>PRESSURE WINDOW</t>
        </is>
      </c>
      <c r="F204" s="2" t="inlineStr">
        <is>
          <t>K9210629</t>
        </is>
      </c>
      <c r="G204" s="2" t="inlineStr">
        <is>
          <t>4G밴드 WG 차단 막</t>
        </is>
      </c>
      <c r="H204" s="2" t="inlineStr">
        <is>
          <t>EA</t>
        </is>
      </c>
      <c r="I204" s="2" t="inlineStr">
        <is>
          <t>Aviat</t>
        </is>
      </c>
      <c r="J204" s="2" t="inlineStr">
        <is>
          <t>미국</t>
        </is>
      </c>
      <c r="K204" s="3" t="n">
        <v>70000</v>
      </c>
      <c r="L204" s="3" t="n">
        <v>68600</v>
      </c>
      <c r="M204" s="4">
        <f>K204-L204</f>
        <v/>
      </c>
      <c r="N204" s="5">
        <f>IF(K204=0,0,M204/K204)</f>
        <v/>
      </c>
      <c r="O204" s="3" t="n">
        <v>0</v>
      </c>
      <c r="P204" s="4">
        <f>O204*K204</f>
        <v/>
      </c>
      <c r="Q204" s="2" t="inlineStr">
        <is>
          <t>개량개선('25년)</t>
        </is>
      </c>
      <c r="R204" s="2" t="inlineStr">
        <is>
          <t>ㅇ 바코드 유무 : N
ㅇ 구매속성 : IP구매
ㅇ 자재상태 : 25년 개량개선
ㅇ 검사속성 : 검사제외</t>
        </is>
      </c>
    </row>
    <row r="205">
      <c r="A205" s="2" t="n">
        <v>204</v>
      </c>
      <c r="B205" s="2" t="inlineStr">
        <is>
          <t>K9210630</t>
        </is>
      </c>
      <c r="C205" s="2" t="n"/>
      <c r="D205" s="2" t="n">
        <v>10637588</v>
      </c>
      <c r="E205" s="2" t="inlineStr">
        <is>
          <t>STANDARD AND UNIVERSIAL GROUNDING KIT</t>
        </is>
      </c>
      <c r="F205" s="2" t="inlineStr">
        <is>
          <t>K9210630</t>
        </is>
      </c>
      <c r="G205" s="2" t="inlineStr">
        <is>
          <t>4G밴드 WG 접지 KIT</t>
        </is>
      </c>
      <c r="H205" s="2" t="inlineStr">
        <is>
          <t>EA</t>
        </is>
      </c>
      <c r="I205" s="2" t="inlineStr">
        <is>
          <t>Aviat</t>
        </is>
      </c>
      <c r="J205" s="2" t="inlineStr">
        <is>
          <t>미국</t>
        </is>
      </c>
      <c r="K205" s="3" t="n">
        <v>30000</v>
      </c>
      <c r="L205" s="3" t="n">
        <v>29400</v>
      </c>
      <c r="M205" s="4">
        <f>K205-L205</f>
        <v/>
      </c>
      <c r="N205" s="5">
        <f>IF(K205=0,0,M205/K205)</f>
        <v/>
      </c>
      <c r="O205" s="3" t="n">
        <v>0</v>
      </c>
      <c r="P205" s="4">
        <f>O205*K205</f>
        <v/>
      </c>
      <c r="Q205" s="2" t="inlineStr">
        <is>
          <t>개량개선('25년)</t>
        </is>
      </c>
      <c r="R205" s="2" t="inlineStr">
        <is>
          <t>ㅇ 바코드 유무 : N
ㅇ 구매속성 : IP구매
ㅇ 자재상태 : 25년 개량개선
ㅇ 검사속성 : 검사제외</t>
        </is>
      </c>
    </row>
    <row r="206">
      <c r="A206" s="2" t="n">
        <v>205</v>
      </c>
      <c r="B206" s="2" t="inlineStr">
        <is>
          <t>K9210631</t>
        </is>
      </c>
      <c r="C206" s="2" t="n"/>
      <c r="D206" s="2" t="inlineStr">
        <is>
          <t>10637590</t>
        </is>
      </c>
      <c r="E206" s="2" t="inlineStr">
        <is>
          <t>FLEXIBLE WAVEGUIDE 6GHz 1200MM PDR70 FLANGES</t>
        </is>
      </c>
      <c r="F206" s="2" t="inlineStr">
        <is>
          <t>K9210631</t>
        </is>
      </c>
      <c r="G206" s="2" t="inlineStr">
        <is>
          <t>6G밴드 후렉시블 KIT</t>
        </is>
      </c>
      <c r="H206" s="2" t="inlineStr">
        <is>
          <t>EA</t>
        </is>
      </c>
      <c r="I206" s="2" t="inlineStr">
        <is>
          <t>Aviat</t>
        </is>
      </c>
      <c r="J206" s="2" t="inlineStr">
        <is>
          <t>미국</t>
        </is>
      </c>
      <c r="K206" s="3" t="n">
        <v>750000</v>
      </c>
      <c r="L206" s="3" t="n">
        <v>735000</v>
      </c>
      <c r="M206" s="4">
        <f>K206-L206</f>
        <v/>
      </c>
      <c r="N206" s="5">
        <f>IF(K206=0,0,M206/K206)</f>
        <v/>
      </c>
      <c r="O206" s="6" t="n">
        <v>12</v>
      </c>
      <c r="P206" s="4">
        <f>O206*K206</f>
        <v/>
      </c>
      <c r="Q206" s="2" t="inlineStr">
        <is>
          <t>개량개선('25년)</t>
        </is>
      </c>
      <c r="R206" s="2" t="inlineStr">
        <is>
          <t>ㅇ 바코드 유무 : N
ㅇ 구매속성 : IP구매
ㅇ 자재상태 : 25년 개량개선
ㅇ 검사속성 : 검사제외</t>
        </is>
      </c>
    </row>
    <row r="207">
      <c r="A207" s="2" t="n">
        <v>206</v>
      </c>
      <c r="B207" s="2" t="inlineStr">
        <is>
          <t>K9210632</t>
        </is>
      </c>
      <c r="C207" s="2" t="n"/>
      <c r="D207" s="2" t="n">
        <v>10637592</v>
      </c>
      <c r="E207" s="2" t="inlineStr">
        <is>
          <t>HAX_MULTI POWER CABLE 50M</t>
        </is>
      </c>
      <c r="F207" s="2" t="inlineStr">
        <is>
          <t>K9210632</t>
        </is>
      </c>
      <c r="G207" s="2" t="inlineStr">
        <is>
          <t>옥외용 전원 케이블</t>
        </is>
      </c>
      <c r="H207" s="2" t="inlineStr">
        <is>
          <t>EA</t>
        </is>
      </c>
      <c r="I207" s="2" t="inlineStr">
        <is>
          <t>Aviat</t>
        </is>
      </c>
      <c r="J207" s="2" t="inlineStr">
        <is>
          <t>미국</t>
        </is>
      </c>
      <c r="K207" s="3" t="n">
        <v>1000000</v>
      </c>
      <c r="L207" s="3" t="n">
        <v>980000</v>
      </c>
      <c r="M207" s="4">
        <f>K207-L207</f>
        <v/>
      </c>
      <c r="N207" s="5">
        <f>IF(K207=0,0,M207/K207)</f>
        <v/>
      </c>
      <c r="O207" s="3" t="n">
        <v>0</v>
      </c>
      <c r="P207" s="4">
        <f>O207*K207</f>
        <v/>
      </c>
      <c r="Q207" s="2" t="inlineStr">
        <is>
          <t>개량개선('25년)</t>
        </is>
      </c>
      <c r="R207" s="2" t="inlineStr">
        <is>
          <t>ㅇ 바코드 유무 : N
ㅇ 구매속성 : IP구매
ㅇ 자재상태 : 25년 개량개선
ㅇ 검사속성 : 검사제외</t>
        </is>
      </c>
    </row>
    <row r="208">
      <c r="A208" s="2" t="n">
        <v>207</v>
      </c>
      <c r="B208" s="2" t="inlineStr">
        <is>
          <t>K9210633</t>
        </is>
      </c>
      <c r="C208" s="2" t="n"/>
      <c r="D208" s="2" t="inlineStr">
        <is>
          <t>10637594</t>
        </is>
      </c>
      <c r="E208" s="2" t="inlineStr">
        <is>
          <t>HAX_MULTI POWER CABLE 75M</t>
        </is>
      </c>
      <c r="F208" s="2" t="inlineStr">
        <is>
          <t>K9210633</t>
        </is>
      </c>
      <c r="G208" s="2" t="inlineStr">
        <is>
          <t>옥외용 전원 케이블</t>
        </is>
      </c>
      <c r="H208" s="2" t="inlineStr">
        <is>
          <t>EA</t>
        </is>
      </c>
      <c r="I208" s="2" t="inlineStr">
        <is>
          <t>Aviat</t>
        </is>
      </c>
      <c r="J208" s="2" t="inlineStr">
        <is>
          <t>미국</t>
        </is>
      </c>
      <c r="K208" s="3" t="n">
        <v>1500000</v>
      </c>
      <c r="L208" s="3" t="n">
        <v>1470000</v>
      </c>
      <c r="M208" s="4">
        <f>K208-L208</f>
        <v/>
      </c>
      <c r="N208" s="5">
        <f>IF(K208=0,0,M208/K208)</f>
        <v/>
      </c>
      <c r="O208" s="6" t="n">
        <v>12</v>
      </c>
      <c r="P208" s="4">
        <f>O208*K208</f>
        <v/>
      </c>
      <c r="Q208" s="2" t="inlineStr">
        <is>
          <t>개량개선('25년)</t>
        </is>
      </c>
      <c r="R208" s="2" t="inlineStr">
        <is>
          <t>ㅇ 바코드 유무 : N
ㅇ 구매속성 : IP구매
ㅇ 자재상태 : 25년 개량개선
ㅇ 검사속성 : 검사제외</t>
        </is>
      </c>
    </row>
    <row r="209">
      <c r="A209" s="2" t="n">
        <v>208</v>
      </c>
      <c r="B209" s="2" t="inlineStr">
        <is>
          <t>K9210634</t>
        </is>
      </c>
      <c r="C209" s="2" t="n"/>
      <c r="D209" s="2" t="n">
        <v>10637596</v>
      </c>
      <c r="E209" s="2" t="inlineStr">
        <is>
          <t>HAX_MULTI FIBER CABLE 50M</t>
        </is>
      </c>
      <c r="F209" s="2" t="inlineStr">
        <is>
          <t>K9210634</t>
        </is>
      </c>
      <c r="G209" s="2" t="inlineStr">
        <is>
          <t>옥외용 광 케이블</t>
        </is>
      </c>
      <c r="H209" s="2" t="inlineStr">
        <is>
          <t>EA</t>
        </is>
      </c>
      <c r="I209" s="2" t="inlineStr">
        <is>
          <t>Aviat</t>
        </is>
      </c>
      <c r="J209" s="2" t="inlineStr">
        <is>
          <t>미국</t>
        </is>
      </c>
      <c r="K209" s="3" t="n">
        <v>375000</v>
      </c>
      <c r="L209" s="3" t="n">
        <v>367500</v>
      </c>
      <c r="M209" s="4">
        <f>K209-L209</f>
        <v/>
      </c>
      <c r="N209" s="5">
        <f>IF(K209=0,0,M209/K209)</f>
        <v/>
      </c>
      <c r="O209" s="3" t="n">
        <v>0</v>
      </c>
      <c r="P209" s="4">
        <f>O209*K209</f>
        <v/>
      </c>
      <c r="Q209" s="2" t="inlineStr">
        <is>
          <t>개량개선('25년)</t>
        </is>
      </c>
      <c r="R209" s="2" t="inlineStr">
        <is>
          <t>ㅇ 바코드 유무 : N
ㅇ 구매속성 : IP구매
ㅇ 자재상태 : 25년 개량개선
ㅇ 검사속성 : 검사제외</t>
        </is>
      </c>
    </row>
    <row r="210">
      <c r="A210" s="2" t="n">
        <v>209</v>
      </c>
      <c r="B210" s="2" t="inlineStr">
        <is>
          <t>K9210635</t>
        </is>
      </c>
      <c r="C210" s="2" t="n"/>
      <c r="D210" s="2" t="inlineStr">
        <is>
          <t>10637598</t>
        </is>
      </c>
      <c r="E210" s="2" t="inlineStr">
        <is>
          <t>HAX_MULTI FIBER CABLE 75M</t>
        </is>
      </c>
      <c r="F210" s="2" t="inlineStr">
        <is>
          <t>K9210635</t>
        </is>
      </c>
      <c r="G210" s="2" t="inlineStr">
        <is>
          <t>옥외용 광 케이블</t>
        </is>
      </c>
      <c r="H210" s="2" t="inlineStr">
        <is>
          <t>EA</t>
        </is>
      </c>
      <c r="I210" s="2" t="inlineStr">
        <is>
          <t>Aviat</t>
        </is>
      </c>
      <c r="J210" s="2" t="inlineStr">
        <is>
          <t>미국</t>
        </is>
      </c>
      <c r="K210" s="3" t="n">
        <v>565000</v>
      </c>
      <c r="L210" s="3" t="n">
        <v>553700</v>
      </c>
      <c r="M210" s="4">
        <f>K210-L210</f>
        <v/>
      </c>
      <c r="N210" s="5">
        <f>IF(K210=0,0,M210/K210)</f>
        <v/>
      </c>
      <c r="O210" s="6" t="n">
        <v>12</v>
      </c>
      <c r="P210" s="4">
        <f>O210*K210</f>
        <v/>
      </c>
      <c r="Q210" s="2" t="inlineStr">
        <is>
          <t>개량개선('25년)</t>
        </is>
      </c>
      <c r="R210" s="2" t="inlineStr">
        <is>
          <t>ㅇ 바코드 유무 : N
ㅇ 구매속성 : IP구매
ㅇ 자재상태 : 25년 개량개선
ㅇ 검사속성 : 검사제외</t>
        </is>
      </c>
    </row>
    <row r="211">
      <c r="A211" s="2" t="n">
        <v>210</v>
      </c>
      <c r="B211" s="2" t="inlineStr">
        <is>
          <t>K9210636</t>
        </is>
      </c>
      <c r="C211" s="2" t="n"/>
      <c r="D211" s="2" t="n">
        <v>10637600</v>
      </c>
      <c r="E211" s="2" t="inlineStr">
        <is>
          <t>HAX_MULTI ETHERNET CABLE 50M</t>
        </is>
      </c>
      <c r="F211" s="2" t="inlineStr">
        <is>
          <t>K9210636</t>
        </is>
      </c>
      <c r="G211" s="2" t="inlineStr">
        <is>
          <t>옥외용 UTP 케이블</t>
        </is>
      </c>
      <c r="H211" s="2" t="inlineStr">
        <is>
          <t>EA</t>
        </is>
      </c>
      <c r="I211" s="2" t="inlineStr">
        <is>
          <t>Aviat</t>
        </is>
      </c>
      <c r="J211" s="2" t="inlineStr">
        <is>
          <t>미국</t>
        </is>
      </c>
      <c r="K211" s="3" t="n">
        <v>700000</v>
      </c>
      <c r="L211" s="3" t="n">
        <v>686000</v>
      </c>
      <c r="M211" s="4">
        <f>K211-L211</f>
        <v/>
      </c>
      <c r="N211" s="5">
        <f>IF(K211=0,0,M211/K211)</f>
        <v/>
      </c>
      <c r="O211" s="3" t="n">
        <v>0</v>
      </c>
      <c r="P211" s="4">
        <f>O211*K211</f>
        <v/>
      </c>
      <c r="Q211" s="2" t="inlineStr">
        <is>
          <t>개량개선('25년)</t>
        </is>
      </c>
      <c r="R211" s="2" t="inlineStr">
        <is>
          <t>ㅇ 바코드 유무 : N
ㅇ 구매속성 : IP구매
ㅇ 자재상태 : 25년 개량개선
ㅇ 검사속성 : 검사제외</t>
        </is>
      </c>
    </row>
    <row r="212">
      <c r="A212" s="2" t="n">
        <v>211</v>
      </c>
      <c r="B212" s="2" t="inlineStr">
        <is>
          <t>K9210637</t>
        </is>
      </c>
      <c r="C212" s="2" t="n"/>
      <c r="D212" s="2" t="inlineStr">
        <is>
          <t>10637602</t>
        </is>
      </c>
      <c r="E212" s="2" t="inlineStr">
        <is>
          <t>HAX_MULTI ETHERNET CABLE 75M</t>
        </is>
      </c>
      <c r="F212" s="2" t="inlineStr">
        <is>
          <t>K9210637</t>
        </is>
      </c>
      <c r="G212" s="2" t="inlineStr">
        <is>
          <t>옥외용 UTP 케이블</t>
        </is>
      </c>
      <c r="H212" s="2" t="inlineStr">
        <is>
          <t>EA</t>
        </is>
      </c>
      <c r="I212" s="2" t="inlineStr">
        <is>
          <t>Aviat</t>
        </is>
      </c>
      <c r="J212" s="2" t="inlineStr">
        <is>
          <t>미국</t>
        </is>
      </c>
      <c r="K212" s="3" t="n">
        <v>1050000</v>
      </c>
      <c r="L212" s="3" t="n">
        <v>1029000</v>
      </c>
      <c r="M212" s="4">
        <f>K212-L212</f>
        <v/>
      </c>
      <c r="N212" s="5">
        <f>IF(K212=0,0,M212/K212)</f>
        <v/>
      </c>
      <c r="O212" s="6" t="n">
        <v>12</v>
      </c>
      <c r="P212" s="4">
        <f>O212*K212</f>
        <v/>
      </c>
      <c r="Q212" s="2" t="inlineStr">
        <is>
          <t>개량개선('25년)</t>
        </is>
      </c>
      <c r="R212" s="2" t="inlineStr">
        <is>
          <t>ㅇ 바코드 유무 : N
ㅇ 구매속성 : IP구매
ㅇ 자재상태 : 25년 개량개선
ㅇ 검사속성 : 검사제외</t>
        </is>
      </c>
    </row>
    <row r="213">
      <c r="A213" s="2" t="n">
        <v>212</v>
      </c>
      <c r="B213" s="2" t="inlineStr">
        <is>
          <t>K9210638</t>
        </is>
      </c>
      <c r="C213" s="2" t="n"/>
      <c r="D213" s="2" t="inlineStr">
        <is>
          <t>10637604</t>
        </is>
      </c>
      <c r="E213" s="2" t="inlineStr">
        <is>
          <t>HAX_EMS CLIENT PC(NOTEBOOK)</t>
        </is>
      </c>
      <c r="F213" s="2" t="inlineStr">
        <is>
          <t>K9210638</t>
        </is>
      </c>
      <c r="G213" s="2" t="inlineStr">
        <is>
          <t>운용터미널 PC</t>
        </is>
      </c>
      <c r="H213" s="2" t="inlineStr">
        <is>
          <t>EA</t>
        </is>
      </c>
      <c r="I213" s="2" t="inlineStr">
        <is>
          <t>Aviat</t>
        </is>
      </c>
      <c r="J213" s="2" t="inlineStr">
        <is>
          <t>미국</t>
        </is>
      </c>
      <c r="K213" s="3" t="n">
        <v>1900000</v>
      </c>
      <c r="L213" s="3" t="n">
        <v>1862000</v>
      </c>
      <c r="M213" s="4">
        <f>K213-L213</f>
        <v/>
      </c>
      <c r="N213" s="5">
        <f>IF(K213=0,0,M213/K213)</f>
        <v/>
      </c>
      <c r="O213" s="3" t="n">
        <v>0</v>
      </c>
      <c r="P213" s="4">
        <f>O213*K213</f>
        <v/>
      </c>
      <c r="Q213" s="2" t="inlineStr">
        <is>
          <t>개량개선('25년)</t>
        </is>
      </c>
      <c r="R213" s="2" t="inlineStr">
        <is>
          <t>ㅇ 바코드 유무 : N
ㅇ 구매속성 : IP구매
ㅇ 자재상태 : 25년 개량개선
ㅇ 검사속성 : 검사제외</t>
        </is>
      </c>
    </row>
    <row r="214">
      <c r="A214" s="2" t="n">
        <v>213</v>
      </c>
      <c r="B214" s="2" t="inlineStr">
        <is>
          <t>K9210639</t>
        </is>
      </c>
      <c r="C214" s="2" t="n"/>
      <c r="D214" s="2" t="inlineStr">
        <is>
          <t>10637608</t>
        </is>
      </c>
      <c r="E214" s="2" t="inlineStr">
        <is>
          <t>HAX_EMS CLIENT PC(DESKTOP)</t>
        </is>
      </c>
      <c r="F214" s="2" t="inlineStr">
        <is>
          <t>K9210639</t>
        </is>
      </c>
      <c r="G214" s="2" t="inlineStr">
        <is>
          <t>운용터미널 PC</t>
        </is>
      </c>
      <c r="H214" s="2" t="inlineStr">
        <is>
          <t>EA</t>
        </is>
      </c>
      <c r="I214" s="2" t="inlineStr">
        <is>
          <t>Aviat</t>
        </is>
      </c>
      <c r="J214" s="2" t="inlineStr">
        <is>
          <t>미국</t>
        </is>
      </c>
      <c r="K214" s="3" t="n">
        <v>2000000</v>
      </c>
      <c r="L214" s="3" t="n">
        <v>1960000</v>
      </c>
      <c r="M214" s="4">
        <f>K214-L214</f>
        <v/>
      </c>
      <c r="N214" s="5">
        <f>IF(K214=0,0,M214/K214)</f>
        <v/>
      </c>
      <c r="O214" s="3" t="n">
        <v>0</v>
      </c>
      <c r="P214" s="4">
        <f>O214*K214</f>
        <v/>
      </c>
      <c r="Q214" s="2" t="inlineStr">
        <is>
          <t>개량개선('25년)</t>
        </is>
      </c>
      <c r="R214" s="2" t="inlineStr">
        <is>
          <t>ㅇ 바코드 유무 : N
ㅇ 구매속성 : IP구매
ㅇ 자재상태 : 25년 개량개선
ㅇ 검사속성 : 검사제외</t>
        </is>
      </c>
    </row>
  </sheetData>
  <autoFilter ref="A1:R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60" customWidth="1" min="4" max="4"/>
    <col width="20" customWidth="1" min="5" max="5"/>
    <col width="11" customWidth="1" min="6" max="6"/>
    <col width="8" customWidth="1" min="7" max="7"/>
    <col width="9" customWidth="1" min="8" max="8"/>
    <col width="14" customWidth="1" min="9" max="9"/>
    <col width="16" customWidth="1" min="10" max="10"/>
    <col width="8" customWidth="1" min="11" max="11"/>
    <col width="12" customWidth="1" min="12" max="12"/>
    <col width="16" customWidth="1" min="13" max="13"/>
    <col width="8" customWidth="1" min="14" max="14"/>
    <col width="8" customWidth="1" min="15" max="15"/>
    <col width="25" customWidth="1" min="16" max="16"/>
    <col width="8" customWidth="1" min="17" max="17"/>
    <col width="19" customWidth="1" min="18" max="18"/>
    <col width="8" customWidth="1" min="19" max="19"/>
    <col width="18" customWidth="1" min="20" max="20"/>
    <col width="38" customWidth="1" min="21" max="21"/>
  </cols>
  <sheetData>
    <row r="1" ht="32" customHeight="1">
      <c r="A1" s="1" t="inlineStr">
        <is>
          <t>순번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세부규격</t>
        </is>
      </c>
      <c r="E1" s="1" t="inlineStr">
        <is>
          <t>품목군</t>
        </is>
      </c>
      <c r="F1" s="1" t="inlineStr">
        <is>
          <t>장비계열</t>
        </is>
      </c>
      <c r="G1" s="1" t="inlineStr">
        <is>
          <t>주파수</t>
        </is>
      </c>
      <c r="H1" s="1" t="inlineStr">
        <is>
          <t>L6_U6구분</t>
        </is>
      </c>
      <c r="I1" s="1" t="inlineStr">
        <is>
          <t>LowHigh_Band</t>
        </is>
      </c>
      <c r="J1" s="1" t="inlineStr">
        <is>
          <t>출력등급</t>
        </is>
      </c>
      <c r="K1" s="1" t="inlineStr">
        <is>
          <t>채널수</t>
        </is>
      </c>
      <c r="L1" s="1" t="inlineStr">
        <is>
          <t>구성표기(2+0등)</t>
        </is>
      </c>
      <c r="M1" s="1" t="inlineStr">
        <is>
          <t>SD_Diversity표기</t>
        </is>
      </c>
      <c r="N1" s="1" t="inlineStr">
        <is>
          <t>RU</t>
        </is>
      </c>
      <c r="O1" s="1" t="inlineStr">
        <is>
          <t>포트수</t>
        </is>
      </c>
      <c r="P1" s="1" t="inlineStr">
        <is>
          <t>인터페이스속도</t>
        </is>
      </c>
      <c r="Q1" s="1" t="inlineStr">
        <is>
          <t>케이블길이</t>
        </is>
      </c>
      <c r="R1" s="1" t="inlineStr">
        <is>
          <t>Waveguide규격</t>
        </is>
      </c>
      <c r="S1" s="1" t="inlineStr">
        <is>
          <t>안테나크기</t>
        </is>
      </c>
      <c r="T1" s="1" t="inlineStr">
        <is>
          <t>편파</t>
        </is>
      </c>
      <c r="U1" s="1" t="inlineStr">
        <is>
          <t>데이터품질이슈</t>
        </is>
      </c>
    </row>
    <row r="2">
      <c r="A2" s="2" t="n">
        <v>1</v>
      </c>
      <c r="B2" s="2" t="inlineStr">
        <is>
          <t>K9090159</t>
        </is>
      </c>
      <c r="C2" s="2" t="inlineStr">
        <is>
          <t>HAX_랙</t>
        </is>
      </c>
      <c r="D2" s="2" t="inlineStr">
        <is>
          <t>IDU 설치용 랙</t>
        </is>
      </c>
      <c r="E2" s="8" t="inlineStr">
        <is>
          <t>Rack</t>
        </is>
      </c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</row>
    <row r="3">
      <c r="A3" s="2" t="n">
        <v>2</v>
      </c>
      <c r="B3" s="2" t="inlineStr">
        <is>
          <t>K9090160</t>
        </is>
      </c>
      <c r="C3" s="2" t="inlineStr">
        <is>
          <t>HAX_전원분배반(PDP)</t>
        </is>
      </c>
      <c r="D3" s="2" t="inlineStr">
        <is>
          <t>가내 전원공급 분배반</t>
        </is>
      </c>
      <c r="E3" s="8" t="inlineStr">
        <is>
          <t>PDP/Power</t>
        </is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</row>
    <row r="4">
      <c r="A4" s="2" t="n">
        <v>3</v>
      </c>
      <c r="B4" s="2" t="inlineStr">
        <is>
          <t>K9090161</t>
        </is>
      </c>
      <c r="C4" s="2" t="inlineStr">
        <is>
          <t>HAX_8GHz, ODU300sp, Low band</t>
        </is>
      </c>
      <c r="D4" s="2" t="inlineStr">
        <is>
          <t>8G 옥외 설치용 무선 송수신부</t>
        </is>
      </c>
      <c r="E4" s="8" t="inlineStr">
        <is>
          <t>ODU/RFU</t>
        </is>
      </c>
      <c r="F4" s="8" t="inlineStr">
        <is>
          <t>ODU300</t>
        </is>
      </c>
      <c r="G4" s="8" t="inlineStr">
        <is>
          <t>8GHz</t>
        </is>
      </c>
      <c r="H4" s="8" t="inlineStr"/>
      <c r="I4" s="8" t="inlineStr">
        <is>
          <t>Low Band</t>
        </is>
      </c>
      <c r="J4" s="8" t="inlineStr">
        <is>
          <t>표준출력(sp)</t>
        </is>
      </c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</row>
    <row r="5">
      <c r="A5" s="2" t="n">
        <v>4</v>
      </c>
      <c r="B5" s="2" t="inlineStr">
        <is>
          <t>K9090162</t>
        </is>
      </c>
      <c r="C5" s="2" t="inlineStr">
        <is>
          <t>HAX_8GHz, ODU300sp, High band</t>
        </is>
      </c>
      <c r="D5" s="2" t="inlineStr">
        <is>
          <t>8G 옥외 설치용 무선 송수신부</t>
        </is>
      </c>
      <c r="E5" s="8" t="inlineStr">
        <is>
          <t>ODU/RFU</t>
        </is>
      </c>
      <c r="F5" s="8" t="inlineStr">
        <is>
          <t>ODU300</t>
        </is>
      </c>
      <c r="G5" s="8" t="inlineStr">
        <is>
          <t>8GHz</t>
        </is>
      </c>
      <c r="H5" s="8" t="inlineStr"/>
      <c r="I5" s="8" t="inlineStr">
        <is>
          <t>High Band</t>
        </is>
      </c>
      <c r="J5" s="8" t="inlineStr">
        <is>
          <t>표준출력(sp)</t>
        </is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</row>
    <row r="6">
      <c r="A6" s="2" t="n">
        <v>5</v>
      </c>
      <c r="B6" s="2" t="inlineStr">
        <is>
          <t>K9090163</t>
        </is>
      </c>
      <c r="C6" s="2" t="inlineStr">
        <is>
          <t>HAX_11GHz, ODU300hp, Low band</t>
        </is>
      </c>
      <c r="D6" s="2" t="inlineStr">
        <is>
          <t>11G 옥외 설치용 무선 송수신부 (Low Band)</t>
        </is>
      </c>
      <c r="E6" s="8" t="inlineStr">
        <is>
          <t>ODU/RFU</t>
        </is>
      </c>
      <c r="F6" s="8" t="inlineStr">
        <is>
          <t>ODU300</t>
        </is>
      </c>
      <c r="G6" s="8" t="inlineStr">
        <is>
          <t>11GHz</t>
        </is>
      </c>
      <c r="H6" s="8" t="inlineStr"/>
      <c r="I6" s="8" t="inlineStr">
        <is>
          <t>Low Band</t>
        </is>
      </c>
      <c r="J6" s="8" t="inlineStr">
        <is>
          <t>High Power(hp)</t>
        </is>
      </c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</row>
    <row r="7">
      <c r="A7" s="2" t="n">
        <v>6</v>
      </c>
      <c r="B7" s="2" t="inlineStr">
        <is>
          <t>K9090164</t>
        </is>
      </c>
      <c r="C7" s="2" t="inlineStr">
        <is>
          <t>HAX_11GHz, ODU300hp, High band</t>
        </is>
      </c>
      <c r="D7" s="2" t="inlineStr">
        <is>
          <t>11G 옥외 설치용 무선 송수신부 (High Band)</t>
        </is>
      </c>
      <c r="E7" s="8" t="inlineStr">
        <is>
          <t>ODU/RFU</t>
        </is>
      </c>
      <c r="F7" s="8" t="inlineStr">
        <is>
          <t>ODU300</t>
        </is>
      </c>
      <c r="G7" s="8" t="inlineStr">
        <is>
          <t>11GHz</t>
        </is>
      </c>
      <c r="H7" s="8" t="inlineStr"/>
      <c r="I7" s="8" t="inlineStr">
        <is>
          <t>High Band</t>
        </is>
      </c>
      <c r="J7" s="8" t="inlineStr">
        <is>
          <t>High Power(hp)</t>
        </is>
      </c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</row>
    <row r="8">
      <c r="A8" s="2" t="n">
        <v>7</v>
      </c>
      <c r="B8" s="2" t="inlineStr">
        <is>
          <t>K9090165</t>
        </is>
      </c>
      <c r="C8" s="2" t="inlineStr">
        <is>
          <t>HAX_IDU300 20X V2_20E1 용</t>
        </is>
      </c>
      <c r="D8" s="2" t="inlineStr">
        <is>
          <t>E1 종속부 수용장비, 최대 20E1 전용</t>
        </is>
      </c>
      <c r="E8" s="8" t="inlineStr">
        <is>
          <t>Interface Card</t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>
        <is>
          <t>E1</t>
        </is>
      </c>
      <c r="Q8" s="8" t="inlineStr"/>
      <c r="R8" s="8" t="inlineStr"/>
      <c r="S8" s="8" t="inlineStr"/>
      <c r="T8" s="8" t="inlineStr"/>
      <c r="U8" s="8" t="inlineStr"/>
    </row>
    <row r="9">
      <c r="A9" s="2" t="n">
        <v>8</v>
      </c>
      <c r="B9" s="2" t="inlineStr">
        <is>
          <t>K9090166</t>
        </is>
      </c>
      <c r="C9" s="2" t="inlineStr">
        <is>
          <t>HAX_IDU-INUe-SHELF</t>
        </is>
      </c>
      <c r="D9" s="2" t="inlineStr">
        <is>
          <t>Ethernet 종속부 수용 장비, 셀프(2RU)</t>
        </is>
      </c>
      <c r="E9" s="8" t="inlineStr">
        <is>
          <t>IDU/Chassis</t>
        </is>
      </c>
      <c r="F9" s="8" t="inlineStr">
        <is>
          <t>INUe</t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2RU</t>
        </is>
      </c>
      <c r="O9" s="8" t="inlineStr"/>
      <c r="P9" s="8" t="inlineStr"/>
      <c r="Q9" s="8" t="inlineStr"/>
      <c r="R9" s="8" t="inlineStr"/>
      <c r="S9" s="8" t="inlineStr"/>
      <c r="T9" s="8" t="inlineStr"/>
      <c r="U9" s="8" t="inlineStr"/>
    </row>
    <row r="10">
      <c r="A10" s="2" t="n">
        <v>9</v>
      </c>
      <c r="B10" s="2" t="inlineStr">
        <is>
          <t>K9090167</t>
        </is>
      </c>
      <c r="C10" s="2" t="inlineStr">
        <is>
          <t>HAX_IDU-INUe-NCC</t>
        </is>
      </c>
      <c r="D10" s="2" t="inlineStr">
        <is>
          <t>관리 및 전원 공급</t>
        </is>
      </c>
      <c r="E10" s="8" t="inlineStr">
        <is>
          <t>CPU/Control</t>
        </is>
      </c>
      <c r="F10" s="8" t="inlineStr">
        <is>
          <t>INUe</t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</row>
    <row r="11">
      <c r="A11" s="2" t="n">
        <v>10</v>
      </c>
      <c r="B11" s="2" t="inlineStr">
        <is>
          <t>K9090168</t>
        </is>
      </c>
      <c r="C11" s="2" t="inlineStr">
        <is>
          <t>HAX_IDU-INUe-NPC</t>
        </is>
      </c>
      <c r="D11" s="2" t="inlineStr">
        <is>
          <t>관리 및 전원 공급 예비유니트</t>
        </is>
      </c>
      <c r="E11" s="8" t="inlineStr">
        <is>
          <t>CPU/Control</t>
        </is>
      </c>
      <c r="F11" s="8" t="inlineStr">
        <is>
          <t>INUe</t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</row>
    <row r="12">
      <c r="A12" s="2" t="n">
        <v>11</v>
      </c>
      <c r="B12" s="2" t="inlineStr">
        <is>
          <t>K9090169</t>
        </is>
      </c>
      <c r="C12" s="2" t="inlineStr">
        <is>
          <t>HAX_IDU-INUe-FAN</t>
        </is>
      </c>
      <c r="D12" s="2" t="inlineStr">
        <is>
          <t>FAN, 셀프내 이중화 구성, 셀프당 기본 2개</t>
        </is>
      </c>
      <c r="E12" s="8" t="inlineStr">
        <is>
          <t>Fan</t>
        </is>
      </c>
      <c r="F12" s="8" t="inlineStr">
        <is>
          <t>INUe</t>
        </is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</row>
    <row r="13">
      <c r="A13" s="2" t="n">
        <v>12</v>
      </c>
      <c r="B13" s="2" t="inlineStr">
        <is>
          <t>K9090170</t>
        </is>
      </c>
      <c r="C13" s="2" t="inlineStr">
        <is>
          <t>HAX_IDU-INUe-AUX</t>
        </is>
      </c>
      <c r="D13" s="2" t="inlineStr">
        <is>
          <t>경보 입/출력, 예비테이타 포트 제공 유니트 / 셀프당 1개</t>
        </is>
      </c>
      <c r="E13" s="8" t="inlineStr">
        <is>
          <t>IDU/Chassis</t>
        </is>
      </c>
      <c r="F13" s="8" t="inlineStr">
        <is>
          <t>INUe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</row>
    <row r="14">
      <c r="A14" s="2" t="n">
        <v>13</v>
      </c>
      <c r="B14" s="2" t="inlineStr">
        <is>
          <t>K9090171</t>
        </is>
      </c>
      <c r="C14" s="2" t="inlineStr">
        <is>
          <t>HAX_IDU-INUe-RAC30</t>
        </is>
      </c>
      <c r="D14" s="2" t="inlineStr">
        <is>
          <t>ODU 연결용 유니트, 이중화 구성 / 셀프당 기본물량 2개</t>
        </is>
      </c>
      <c r="E14" s="8" t="inlineStr">
        <is>
          <t>ODU/RFU</t>
        </is>
      </c>
      <c r="F14" s="8" t="inlineStr">
        <is>
          <t>INUe</t>
        </is>
      </c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</row>
    <row r="15">
      <c r="A15" s="2" t="n">
        <v>14</v>
      </c>
      <c r="B15" s="2" t="inlineStr">
        <is>
          <t>K9090172</t>
        </is>
      </c>
      <c r="C15" s="2" t="inlineStr">
        <is>
          <t>HAX_IDU-INUe-DAC GE</t>
        </is>
      </c>
      <c r="D15" s="2" t="inlineStr">
        <is>
          <t xml:space="preserve"> 3 x 10/100/1000 baseT(RJ-45), 1 x Optical 1000 BASE-LX(LC)</t>
        </is>
      </c>
      <c r="E15" s="8" t="inlineStr">
        <is>
          <t>Interface Card</t>
        </is>
      </c>
      <c r="F15" s="8" t="inlineStr">
        <is>
          <t>INUe</t>
        </is>
      </c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>
        <is>
          <t>10/100/1000BaseT</t>
        </is>
      </c>
      <c r="Q15" s="8" t="inlineStr"/>
      <c r="R15" s="8" t="inlineStr"/>
      <c r="S15" s="8" t="inlineStr"/>
      <c r="T15" s="8" t="inlineStr"/>
      <c r="U15" s="8" t="inlineStr"/>
    </row>
    <row r="16">
      <c r="A16" s="2" t="n">
        <v>15</v>
      </c>
      <c r="B16" s="2" t="inlineStr">
        <is>
          <t>K9090173</t>
        </is>
      </c>
      <c r="C16" s="2" t="inlineStr">
        <is>
          <t>HAX_IDU-INUe-Blank</t>
        </is>
      </c>
      <c r="D16" s="2" t="inlineStr">
        <is>
          <t>슬롯 블랭크</t>
        </is>
      </c>
      <c r="E16" s="8" t="inlineStr">
        <is>
          <t>기타</t>
        </is>
      </c>
      <c r="F16" s="8" t="inlineStr">
        <is>
          <t>INUe</t>
        </is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</row>
    <row r="17">
      <c r="A17" s="2" t="n">
        <v>16</v>
      </c>
      <c r="B17" s="2" t="inlineStr">
        <is>
          <t>K9090174</t>
        </is>
      </c>
      <c r="C17" s="2" t="inlineStr">
        <is>
          <t>HAX_IDU/ODU간 IF 케이블,1Meter</t>
        </is>
      </c>
      <c r="D17" s="2" t="inlineStr">
        <is>
          <t>IDU / ODU간 연결케이블</t>
        </is>
      </c>
      <c r="E17" s="8" t="inlineStr">
        <is>
          <t>ODU/RFU</t>
        </is>
      </c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>
        <is>
          <t>1m</t>
        </is>
      </c>
      <c r="R17" s="8" t="inlineStr"/>
      <c r="S17" s="8" t="inlineStr"/>
      <c r="T17" s="8" t="inlineStr"/>
      <c r="U17" s="8" t="inlineStr"/>
    </row>
    <row r="18">
      <c r="A18" s="2" t="n">
        <v>17</v>
      </c>
      <c r="B18" s="2" t="inlineStr">
        <is>
          <t>K9090175</t>
        </is>
      </c>
      <c r="C18" s="2" t="inlineStr">
        <is>
          <t>HAX_E1 Y-케이블, 0.1Meter</t>
        </is>
      </c>
      <c r="D18" s="2" t="inlineStr">
        <is>
          <t>E1 포트 이중화 연결 케이블</t>
        </is>
      </c>
      <c r="E18" s="8" t="inlineStr">
        <is>
          <t>Cable</t>
        </is>
      </c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>
        <is>
          <t>E1</t>
        </is>
      </c>
      <c r="Q18" s="8" t="inlineStr">
        <is>
          <t>0.1m</t>
        </is>
      </c>
      <c r="R18" s="8" t="inlineStr"/>
      <c r="S18" s="8" t="inlineStr"/>
      <c r="T18" s="8" t="inlineStr"/>
      <c r="U18" s="8" t="inlineStr"/>
    </row>
    <row r="19">
      <c r="A19" s="2" t="n">
        <v>18</v>
      </c>
      <c r="B19" s="2" t="inlineStr">
        <is>
          <t>K9210281</t>
        </is>
      </c>
      <c r="C19" s="2" t="inlineStr">
        <is>
          <t>HAX_커넥터 KIT_IF 케이블 종단용</t>
        </is>
      </c>
      <c r="D19" s="2" t="inlineStr">
        <is>
          <t>IF 케이블 종단 컨넥터</t>
        </is>
      </c>
      <c r="E19" s="8" t="inlineStr">
        <is>
          <t>Cable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</row>
    <row r="20">
      <c r="A20" s="2" t="n">
        <v>19</v>
      </c>
      <c r="B20" s="2" t="inlineStr">
        <is>
          <t>K9090177</t>
        </is>
      </c>
      <c r="C20" s="2" t="inlineStr">
        <is>
          <t>HAX_8G용 Waveguide WR112 UDR84/UDR84(3ft)</t>
        </is>
      </c>
      <c r="D20" s="2" t="inlineStr">
        <is>
          <t>8Ghz용 W/G, ODU와 ANT연결용</t>
        </is>
      </c>
      <c r="E20" s="8" t="inlineStr">
        <is>
          <t>Waveguide</t>
        </is>
      </c>
      <c r="F20" s="8" t="inlineStr"/>
      <c r="G20" s="8" t="inlineStr">
        <is>
          <t>8GHz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>
        <is>
          <t>WR112/UDR84</t>
        </is>
      </c>
      <c r="S20" s="8" t="inlineStr">
        <is>
          <t>3ft</t>
        </is>
      </c>
      <c r="T20" s="8" t="inlineStr"/>
      <c r="U20" s="8" t="inlineStr"/>
    </row>
    <row r="21">
      <c r="A21" s="2" t="n">
        <v>20</v>
      </c>
      <c r="B21" s="2" t="inlineStr">
        <is>
          <t>K9090178</t>
        </is>
      </c>
      <c r="C21" s="2" t="inlineStr">
        <is>
          <t>HAX_111G용 Waveguide WR90 UDR100/UDR100(3ft)</t>
        </is>
      </c>
      <c r="D21" s="2" t="inlineStr">
        <is>
          <t>11Ghz용 W/G, ODU와 ANT연결용</t>
        </is>
      </c>
      <c r="E21" s="8" t="inlineStr">
        <is>
          <t>Waveguide</t>
        </is>
      </c>
      <c r="F21" s="8" t="inlineStr"/>
      <c r="G21" s="8" t="inlineStr">
        <is>
          <t>11GHz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>
        <is>
          <t>WR90/UDR100</t>
        </is>
      </c>
      <c r="S21" s="8" t="inlineStr">
        <is>
          <t>3ft</t>
        </is>
      </c>
      <c r="T21" s="8" t="inlineStr"/>
      <c r="U21" s="9" t="inlineStr">
        <is>
          <t>품명 또는 설명에 '111G' 형태 오타 의심(11GHz로 추정)</t>
        </is>
      </c>
    </row>
    <row r="22">
      <c r="A22" s="2" t="n">
        <v>21</v>
      </c>
      <c r="B22" s="2" t="inlineStr">
        <is>
          <t>K9210280</t>
        </is>
      </c>
      <c r="C22" s="2" t="inlineStr">
        <is>
          <t>HAX_Arrestor KIT("N"형 M,F콘넥터 각1EA 포함)</t>
        </is>
      </c>
      <c r="D22" s="2" t="inlineStr">
        <is>
          <t>IDU/ODU 연결 케이블 내 낙뢰 보호기(2개 1셋)</t>
        </is>
      </c>
      <c r="E22" s="8" t="inlineStr">
        <is>
          <t>Surge/Grounding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</row>
    <row r="23">
      <c r="A23" s="2" t="n">
        <v>22</v>
      </c>
      <c r="B23" s="2" t="inlineStr">
        <is>
          <t>K9090180</t>
        </is>
      </c>
      <c r="C23" s="2" t="inlineStr">
        <is>
          <t>HAX_8G용 Coupler KIT</t>
        </is>
      </c>
      <c r="D23" s="2" t="inlineStr">
        <is>
          <t>1+1 ODU 설치용 커플러</t>
        </is>
      </c>
      <c r="E23" s="8" t="inlineStr">
        <is>
          <t>Coupler/Hybrid</t>
        </is>
      </c>
      <c r="F23" s="8" t="inlineStr"/>
      <c r="G23" s="8" t="inlineStr">
        <is>
          <t>8GHz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</row>
    <row r="24">
      <c r="A24" s="2" t="n">
        <v>23</v>
      </c>
      <c r="B24" s="2" t="inlineStr">
        <is>
          <t>K9090181</t>
        </is>
      </c>
      <c r="C24" s="2" t="inlineStr">
        <is>
          <t>HAX_11G용 Coupler KIT</t>
        </is>
      </c>
      <c r="D24" s="2" t="inlineStr">
        <is>
          <t>1+1 ODU 설치용 커플러</t>
        </is>
      </c>
      <c r="E24" s="8" t="inlineStr">
        <is>
          <t>Coupler/Hybrid</t>
        </is>
      </c>
      <c r="F24" s="8" t="inlineStr"/>
      <c r="G24" s="8" t="inlineStr">
        <is>
          <t>11GHz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</row>
    <row r="25">
      <c r="A25" s="2" t="n">
        <v>24</v>
      </c>
      <c r="B25" s="2" t="inlineStr">
        <is>
          <t>K9090182</t>
        </is>
      </c>
      <c r="C25" s="2" t="inlineStr">
        <is>
          <t>HAX_Pole Mount Kit</t>
        </is>
      </c>
      <c r="D25" s="2" t="inlineStr">
        <is>
          <t>ODU 철탑 고정용 KIT</t>
        </is>
      </c>
      <c r="E25" s="8" t="inlineStr">
        <is>
          <t>Mount/Bracket</t>
        </is>
      </c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</row>
    <row r="26">
      <c r="A26" s="2" t="n">
        <v>25</v>
      </c>
      <c r="B26" s="2" t="inlineStr">
        <is>
          <t>K9090183</t>
        </is>
      </c>
      <c r="C26" s="2" t="inlineStr">
        <is>
          <t>HAX_Install Tool</t>
        </is>
      </c>
      <c r="D26" s="2" t="inlineStr">
        <is>
          <t>커넥터 조립 공구</t>
        </is>
      </c>
      <c r="E26" s="8" t="inlineStr">
        <is>
          <t>Connector</t>
        </is>
      </c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</row>
    <row r="27">
      <c r="A27" s="2" t="n">
        <v>26</v>
      </c>
      <c r="B27" s="2" t="inlineStr">
        <is>
          <t>K9090184</t>
        </is>
      </c>
      <c r="C27" s="2" t="inlineStr">
        <is>
          <t>HAX_Orderwire IP 전화기</t>
        </is>
      </c>
      <c r="D27" s="2" t="inlineStr">
        <is>
          <t>타합선용 IP 전화기</t>
        </is>
      </c>
      <c r="E27" s="8" t="inlineStr">
        <is>
          <t>기타</t>
        </is>
      </c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</row>
    <row r="28">
      <c r="A28" s="2" t="n">
        <v>27</v>
      </c>
      <c r="B28" s="2" t="inlineStr">
        <is>
          <t>K9090185</t>
        </is>
      </c>
      <c r="C28" s="2" t="inlineStr">
        <is>
          <t>HAX_CIT 소프트웨어_Portal</t>
        </is>
      </c>
      <c r="D28" s="2" t="inlineStr">
        <is>
          <t>NMS SW</t>
        </is>
      </c>
      <c r="E28" s="8" t="inlineStr">
        <is>
          <t>NMS/EMS</t>
        </is>
      </c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</row>
    <row r="29">
      <c r="A29" s="2" t="n">
        <v>28</v>
      </c>
      <c r="B29" s="2" t="inlineStr">
        <is>
          <t>K9090186</t>
        </is>
      </c>
      <c r="C29" s="2" t="inlineStr">
        <is>
          <t>HAX_CIT용 컴퓨터_Desktop</t>
        </is>
      </c>
      <c r="D29" s="2" t="inlineStr">
        <is>
          <t>NMS 데스크탑 PC</t>
        </is>
      </c>
      <c r="E29" s="8" t="inlineStr">
        <is>
          <t>PC/운영장비</t>
        </is>
      </c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</row>
    <row r="30">
      <c r="A30" s="2" t="n">
        <v>29</v>
      </c>
      <c r="B30" s="2" t="inlineStr">
        <is>
          <t>K9090189</t>
        </is>
      </c>
      <c r="C30" s="2" t="inlineStr">
        <is>
          <t>HAX_Node License, 1Node</t>
        </is>
      </c>
      <c r="D30" s="2" t="inlineStr">
        <is>
          <t xml:space="preserve">HAX_Node License-1Node </t>
        </is>
      </c>
      <c r="E30" s="8" t="inlineStr">
        <is>
          <t>License</t>
        </is>
      </c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</row>
    <row r="31">
      <c r="A31" s="2" t="n">
        <v>30</v>
      </c>
      <c r="B31" s="2" t="inlineStr">
        <is>
          <t>K9090209</t>
        </is>
      </c>
      <c r="C31" s="2" t="inlineStr">
        <is>
          <t>HAX_CIT 컴퓨터_notebook</t>
        </is>
      </c>
      <c r="D31" s="2" t="inlineStr">
        <is>
          <t>NMS 노트북 PC</t>
        </is>
      </c>
      <c r="E31" s="8" t="inlineStr">
        <is>
          <t>PC/운영장비</t>
        </is>
      </c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</row>
    <row r="32">
      <c r="A32" s="2" t="n">
        <v>31</v>
      </c>
      <c r="B32" s="2" t="inlineStr">
        <is>
          <t>K9093720</t>
        </is>
      </c>
      <c r="C32" s="2" t="inlineStr">
        <is>
          <t>HAX_8GHz, ODU300hp, Low band</t>
        </is>
      </c>
      <c r="D32" s="2" t="inlineStr">
        <is>
          <t>8GHz 옥외 설치용 무선 송수신부(Low Band)</t>
        </is>
      </c>
      <c r="E32" s="8" t="inlineStr">
        <is>
          <t>ODU/RFU</t>
        </is>
      </c>
      <c r="F32" s="8" t="inlineStr">
        <is>
          <t>ODU300</t>
        </is>
      </c>
      <c r="G32" s="8" t="inlineStr">
        <is>
          <t>8GHz</t>
        </is>
      </c>
      <c r="H32" s="8" t="inlineStr"/>
      <c r="I32" s="8" t="inlineStr">
        <is>
          <t>Low Band</t>
        </is>
      </c>
      <c r="J32" s="8" t="inlineStr">
        <is>
          <t>High Power(hp)</t>
        </is>
      </c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</row>
    <row r="33">
      <c r="A33" s="2" t="n">
        <v>32</v>
      </c>
      <c r="B33" s="2" t="inlineStr">
        <is>
          <t>K9093721</t>
        </is>
      </c>
      <c r="C33" s="2" t="inlineStr">
        <is>
          <t>HAX_8GHz, ODU300hp, High band</t>
        </is>
      </c>
      <c r="D33" s="2" t="inlineStr">
        <is>
          <t>8GHz 옥외 설치용 무선 송수신부(High Band)</t>
        </is>
      </c>
      <c r="E33" s="8" t="inlineStr">
        <is>
          <t>ODU/RFU</t>
        </is>
      </c>
      <c r="F33" s="8" t="inlineStr">
        <is>
          <t>ODU300</t>
        </is>
      </c>
      <c r="G33" s="8" t="inlineStr">
        <is>
          <t>8GHz</t>
        </is>
      </c>
      <c r="H33" s="8" t="inlineStr"/>
      <c r="I33" s="8" t="inlineStr">
        <is>
          <t>High Band</t>
        </is>
      </c>
      <c r="J33" s="8" t="inlineStr">
        <is>
          <t>High Power(hp)</t>
        </is>
      </c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</row>
    <row r="34">
      <c r="A34" s="2" t="n">
        <v>33</v>
      </c>
      <c r="B34" s="2" t="inlineStr">
        <is>
          <t>K9093722</t>
        </is>
      </c>
      <c r="C34" s="2" t="inlineStr">
        <is>
          <t>HAX_IDU GE 20X 20E1+Gigabit Ethernet 용</t>
        </is>
      </c>
      <c r="D34" s="2" t="inlineStr">
        <is>
          <t>20E1+GbE</t>
        </is>
      </c>
      <c r="E34" s="8" t="inlineStr">
        <is>
          <t>Interface Card</t>
        </is>
      </c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>
        <is>
          <t>E1/GbE</t>
        </is>
      </c>
      <c r="Q34" s="8" t="inlineStr"/>
      <c r="R34" s="8" t="inlineStr"/>
      <c r="S34" s="8" t="inlineStr"/>
      <c r="T34" s="8" t="inlineStr"/>
      <c r="U34" s="8" t="inlineStr"/>
    </row>
    <row r="35">
      <c r="A35" s="2" t="n">
        <v>34</v>
      </c>
      <c r="B35" s="2" t="inlineStr">
        <is>
          <t>K9210279</t>
        </is>
      </c>
      <c r="C35" s="2" t="inlineStr">
        <is>
          <t>HAX_Gigabit Ethernet SFP</t>
        </is>
      </c>
      <c r="D35" s="2" t="inlineStr">
        <is>
          <t>1GbE 광모듈</t>
        </is>
      </c>
      <c r="E35" s="8" t="inlineStr">
        <is>
          <t>SFP/Optical Module</t>
        </is>
      </c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>
        <is>
          <t>GbE</t>
        </is>
      </c>
      <c r="Q35" s="8" t="inlineStr"/>
      <c r="R35" s="8" t="inlineStr"/>
      <c r="S35" s="8" t="inlineStr"/>
      <c r="T35" s="8" t="inlineStr"/>
      <c r="U35" s="8" t="inlineStr"/>
    </row>
    <row r="36">
      <c r="A36" s="2" t="n">
        <v>35</v>
      </c>
      <c r="B36" s="2" t="inlineStr">
        <is>
          <t>K9093724</t>
        </is>
      </c>
      <c r="C36" s="2" t="inlineStr">
        <is>
          <t>HAX_IDU_INUe_DAC 16x</t>
        </is>
      </c>
      <c r="D36" s="2" t="inlineStr">
        <is>
          <t>16E1 수용</t>
        </is>
      </c>
      <c r="E36" s="8" t="inlineStr">
        <is>
          <t>Interface Card</t>
        </is>
      </c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>
        <is>
          <t>E1</t>
        </is>
      </c>
      <c r="Q36" s="8" t="inlineStr"/>
      <c r="R36" s="8" t="inlineStr"/>
      <c r="S36" s="8" t="inlineStr"/>
      <c r="T36" s="8" t="inlineStr"/>
      <c r="U36" s="8" t="inlineStr"/>
    </row>
    <row r="37">
      <c r="A37" s="2" t="n">
        <v>36</v>
      </c>
      <c r="B37" s="2" t="inlineStr">
        <is>
          <t>K9093725</t>
        </is>
      </c>
      <c r="C37" s="2" t="inlineStr">
        <is>
          <t>HAX_E1 분배반</t>
        </is>
      </c>
      <c r="D37" s="2" t="inlineStr">
        <is>
          <t>E1 신호 이중화 분배반</t>
        </is>
      </c>
      <c r="E37" s="8" t="inlineStr">
        <is>
          <t>Interface Card</t>
        </is>
      </c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>
        <is>
          <t>E1</t>
        </is>
      </c>
      <c r="Q37" s="8" t="inlineStr"/>
      <c r="R37" s="8" t="inlineStr"/>
      <c r="S37" s="8" t="inlineStr"/>
      <c r="T37" s="8" t="inlineStr"/>
      <c r="U37" s="8" t="inlineStr"/>
    </row>
    <row r="38">
      <c r="A38" s="2" t="n">
        <v>37</v>
      </c>
      <c r="B38" s="2" t="inlineStr">
        <is>
          <t>K9118257</t>
        </is>
      </c>
      <c r="C38" s="2" t="inlineStr">
        <is>
          <t>HAX_DS3 Y-Cable, Slimline BNC to Stnd BNC</t>
        </is>
      </c>
      <c r="D38" s="2" t="inlineStr">
        <is>
          <t>DS3 Y-케이블</t>
        </is>
      </c>
      <c r="E38" s="8" t="inlineStr">
        <is>
          <t>Cable</t>
        </is>
      </c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>
        <is>
          <t>DS3/E3</t>
        </is>
      </c>
      <c r="Q38" s="8" t="inlineStr"/>
      <c r="R38" s="8" t="inlineStr"/>
      <c r="S38" s="8" t="inlineStr"/>
      <c r="T38" s="8" t="inlineStr"/>
      <c r="U38" s="8" t="inlineStr"/>
    </row>
    <row r="39">
      <c r="A39" s="2" t="n">
        <v>38</v>
      </c>
      <c r="B39" s="2" t="inlineStr">
        <is>
          <t>K9118258</t>
        </is>
      </c>
      <c r="C39" s="2" t="inlineStr">
        <is>
          <t>Microwave_HAX_IDU_INUe_DAC 3xE3/DS3M</t>
        </is>
      </c>
      <c r="D39" s="2" t="inlineStr">
        <is>
          <t>DS3 인터페이스 카드</t>
        </is>
      </c>
      <c r="E39" s="8" t="inlineStr">
        <is>
          <t>Interface Card</t>
        </is>
      </c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>
        <is>
          <t>DS3/E3</t>
        </is>
      </c>
      <c r="Q39" s="8" t="inlineStr">
        <is>
          <t>3m</t>
        </is>
      </c>
      <c r="R39" s="8" t="inlineStr"/>
      <c r="S39" s="8" t="inlineStr"/>
      <c r="T39" s="8" t="inlineStr"/>
      <c r="U39" s="8" t="inlineStr"/>
    </row>
    <row r="40">
      <c r="A40" s="2" t="n">
        <v>39</v>
      </c>
      <c r="B40" s="2" t="inlineStr">
        <is>
          <t>K9119263</t>
        </is>
      </c>
      <c r="C40" s="2" t="inlineStr">
        <is>
          <t>HAX_U6GHz ODU300hp Low Band</t>
        </is>
      </c>
      <c r="D40" s="2" t="inlineStr">
        <is>
          <t>U6GHz 옥외 설치용 무선 송수신부(Low Band)</t>
        </is>
      </c>
      <c r="E40" s="8" t="inlineStr">
        <is>
          <t>ODU/RFU</t>
        </is>
      </c>
      <c r="F40" s="8" t="inlineStr">
        <is>
          <t>ODU300</t>
        </is>
      </c>
      <c r="G40" s="8" t="inlineStr">
        <is>
          <t>U6GHz</t>
        </is>
      </c>
      <c r="H40" s="8" t="inlineStr">
        <is>
          <t>U6GHz</t>
        </is>
      </c>
      <c r="I40" s="8" t="inlineStr">
        <is>
          <t>Low Band</t>
        </is>
      </c>
      <c r="J40" s="8" t="inlineStr">
        <is>
          <t>High Power(hp)</t>
        </is>
      </c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</row>
    <row r="41">
      <c r="A41" s="2" t="n">
        <v>40</v>
      </c>
      <c r="B41" s="2" t="inlineStr">
        <is>
          <t>K9119264</t>
        </is>
      </c>
      <c r="C41" s="2" t="inlineStr">
        <is>
          <t>HAX_STM-1-SC</t>
        </is>
      </c>
      <c r="D41" s="2" t="inlineStr">
        <is>
          <t>STM-1 인터페이스 카드</t>
        </is>
      </c>
      <c r="E41" s="8" t="inlineStr">
        <is>
          <t>Interface Card</t>
        </is>
      </c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>
        <is>
          <t>STM-1</t>
        </is>
      </c>
      <c r="Q41" s="8" t="inlineStr"/>
      <c r="R41" s="8" t="inlineStr"/>
      <c r="S41" s="8" t="inlineStr"/>
      <c r="T41" s="8" t="inlineStr"/>
      <c r="U41" s="8" t="inlineStr"/>
    </row>
    <row r="42">
      <c r="A42" s="2" t="n">
        <v>41</v>
      </c>
      <c r="B42" s="2" t="inlineStr">
        <is>
          <t>K9119265</t>
        </is>
      </c>
      <c r="C42" s="2" t="inlineStr">
        <is>
          <t>HAX_E1 Y-Cable_DAC 16x V2용</t>
        </is>
      </c>
      <c r="D42" s="2" t="inlineStr">
        <is>
          <t>1개에 8E1용 수용(신형)</t>
        </is>
      </c>
      <c r="E42" s="8" t="inlineStr">
        <is>
          <t>Cable</t>
        </is>
      </c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</row>
    <row r="43">
      <c r="A43" s="2" t="n">
        <v>42</v>
      </c>
      <c r="B43" s="2" t="inlineStr">
        <is>
          <t>K9119266</t>
        </is>
      </c>
      <c r="C43" s="2" t="inlineStr">
        <is>
          <t>HAX_DAC 16x V2</t>
        </is>
      </c>
      <c r="D43" s="2" t="inlineStr">
        <is>
          <t>유니트 절체기능 추가(신형)</t>
        </is>
      </c>
      <c r="E43" s="8" t="inlineStr">
        <is>
          <t>Interface Card</t>
        </is>
      </c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</row>
    <row r="44">
      <c r="A44" s="2" t="n">
        <v>43</v>
      </c>
      <c r="B44" s="2" t="inlineStr">
        <is>
          <t>K9119270</t>
        </is>
      </c>
      <c r="C44" s="2" t="inlineStr">
        <is>
          <t>HAX_L6GHz ODU300hp Low Band</t>
        </is>
      </c>
      <c r="D44" s="2" t="inlineStr">
        <is>
          <t>L6GHz 옥외 설치용 무선 송수신부(Low Band)</t>
        </is>
      </c>
      <c r="E44" s="8" t="inlineStr">
        <is>
          <t>ODU/RFU</t>
        </is>
      </c>
      <c r="F44" s="8" t="inlineStr">
        <is>
          <t>ODU300</t>
        </is>
      </c>
      <c r="G44" s="8" t="inlineStr">
        <is>
          <t>L6GHz</t>
        </is>
      </c>
      <c r="H44" s="8" t="inlineStr">
        <is>
          <t>L6GHz</t>
        </is>
      </c>
      <c r="I44" s="8" t="inlineStr">
        <is>
          <t>Low Band</t>
        </is>
      </c>
      <c r="J44" s="8" t="inlineStr">
        <is>
          <t>High Power(hp)</t>
        </is>
      </c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</row>
    <row r="45">
      <c r="A45" s="2" t="n">
        <v>44</v>
      </c>
      <c r="B45" s="2" t="inlineStr">
        <is>
          <t>K9119271</t>
        </is>
      </c>
      <c r="C45" s="2" t="inlineStr">
        <is>
          <t>HAX_L6GHz ODU300hp High Band</t>
        </is>
      </c>
      <c r="D45" s="2" t="inlineStr">
        <is>
          <t>L6GHz 옥외 설치용 무선 송수신부(High Band)</t>
        </is>
      </c>
      <c r="E45" s="8" t="inlineStr">
        <is>
          <t>ODU/RFU</t>
        </is>
      </c>
      <c r="F45" s="8" t="inlineStr">
        <is>
          <t>ODU300</t>
        </is>
      </c>
      <c r="G45" s="8" t="inlineStr">
        <is>
          <t>L6GHz</t>
        </is>
      </c>
      <c r="H45" s="8" t="inlineStr">
        <is>
          <t>L6GHz</t>
        </is>
      </c>
      <c r="I45" s="8" t="inlineStr">
        <is>
          <t>High Band</t>
        </is>
      </c>
      <c r="J45" s="8" t="inlineStr">
        <is>
          <t>High Power(hp)</t>
        </is>
      </c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</row>
    <row r="46">
      <c r="A46" s="2" t="n">
        <v>45</v>
      </c>
      <c r="B46" s="2" t="inlineStr">
        <is>
          <t>K9119272</t>
        </is>
      </c>
      <c r="C46" s="2" t="inlineStr">
        <is>
          <t>HAX_U6GHz ODU300hp High Band</t>
        </is>
      </c>
      <c r="D46" s="2" t="inlineStr">
        <is>
          <t>U6GHz 옥외 설치용 무선 송수신부(High Band)</t>
        </is>
      </c>
      <c r="E46" s="8" t="inlineStr">
        <is>
          <t>ODU/RFU</t>
        </is>
      </c>
      <c r="F46" s="8" t="inlineStr">
        <is>
          <t>ODU300</t>
        </is>
      </c>
      <c r="G46" s="8" t="inlineStr">
        <is>
          <t>U6GHz</t>
        </is>
      </c>
      <c r="H46" s="8" t="inlineStr">
        <is>
          <t>U6GHz</t>
        </is>
      </c>
      <c r="I46" s="8" t="inlineStr">
        <is>
          <t>High Band</t>
        </is>
      </c>
      <c r="J46" s="8" t="inlineStr">
        <is>
          <t>High Power(hp)</t>
        </is>
      </c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</row>
    <row r="47">
      <c r="A47" s="2" t="n">
        <v>46</v>
      </c>
      <c r="B47" s="2" t="inlineStr">
        <is>
          <t>K9119273</t>
        </is>
      </c>
      <c r="C47" s="2" t="inlineStr">
        <is>
          <t>HAX_6G용 Coupler KIT</t>
        </is>
      </c>
      <c r="D47" s="2" t="inlineStr">
        <is>
          <t>6G용 커플러</t>
        </is>
      </c>
      <c r="E47" s="8" t="inlineStr">
        <is>
          <t>Coupler/Hybrid</t>
        </is>
      </c>
      <c r="F47" s="8" t="inlineStr"/>
      <c r="G47" s="8" t="inlineStr">
        <is>
          <t>6GHz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</row>
    <row r="48">
      <c r="A48" s="2" t="n">
        <v>47</v>
      </c>
      <c r="B48" s="2" t="inlineStr">
        <is>
          <t>K9119280</t>
        </is>
      </c>
      <c r="C48" s="2" t="inlineStr">
        <is>
          <t>HAX_FAN-2RU</t>
        </is>
      </c>
      <c r="D48" s="2" t="inlineStr">
        <is>
          <t>FAN 유니트(신형)</t>
        </is>
      </c>
      <c r="E48" s="8" t="inlineStr">
        <is>
          <t>Fan</t>
        </is>
      </c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>
        <is>
          <t>2RU</t>
        </is>
      </c>
      <c r="O48" s="8" t="inlineStr"/>
      <c r="P48" s="8" t="inlineStr"/>
      <c r="Q48" s="8" t="inlineStr"/>
      <c r="R48" s="8" t="inlineStr"/>
      <c r="S48" s="8" t="inlineStr"/>
      <c r="T48" s="8" t="inlineStr"/>
      <c r="U48" s="8" t="inlineStr"/>
    </row>
    <row r="49">
      <c r="A49" s="2" t="n">
        <v>48</v>
      </c>
      <c r="B49" s="2" t="inlineStr">
        <is>
          <t>K9119281</t>
        </is>
      </c>
      <c r="C49" s="2" t="inlineStr">
        <is>
          <t>HAX_6G용 W/G WR137 UDR70/PDR70</t>
        </is>
      </c>
      <c r="D49" s="2" t="inlineStr">
        <is>
          <t>8Ghz용 W/G, ODU와 ANT연결용, 900mm</t>
        </is>
      </c>
      <c r="E49" s="8" t="inlineStr">
        <is>
          <t>Waveguide</t>
        </is>
      </c>
      <c r="F49" s="8" t="inlineStr"/>
      <c r="G49" s="8" t="inlineStr">
        <is>
          <t>6GHz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>
        <is>
          <t>900mm</t>
        </is>
      </c>
      <c r="R49" s="8" t="inlineStr">
        <is>
          <t>WR137/UDR70/PDR70</t>
        </is>
      </c>
      <c r="S49" s="8" t="inlineStr"/>
      <c r="T49" s="8" t="inlineStr"/>
      <c r="U49" s="9" t="inlineStr">
        <is>
          <t>품명 주파수(6GHz)와 설명 주파수(8GHz) 불일치</t>
        </is>
      </c>
    </row>
    <row r="50">
      <c r="A50" s="2" t="n">
        <v>49</v>
      </c>
      <c r="B50" s="2" t="inlineStr">
        <is>
          <t>K9175468</t>
        </is>
      </c>
      <c r="C50" s="2" t="inlineStr">
        <is>
          <t>HAX_IDU-INUe-RAC60</t>
        </is>
      </c>
      <c r="D50" s="2" t="inlineStr">
        <is>
          <t>ODU 연결용 유니트, 이중화 구성 / 셀프당 기본물량 2개</t>
        </is>
      </c>
      <c r="E50" s="8" t="inlineStr">
        <is>
          <t>ODU/RFU</t>
        </is>
      </c>
      <c r="F50" s="8" t="inlineStr">
        <is>
          <t>INUe</t>
        </is>
      </c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</row>
    <row r="51">
      <c r="A51" s="2" t="n">
        <v>50</v>
      </c>
      <c r="B51" s="2" t="inlineStr">
        <is>
          <t>K9175469</t>
        </is>
      </c>
      <c r="C51" s="2" t="inlineStr">
        <is>
          <t>HAX_IDU-INUe-DAC GE3</t>
        </is>
      </c>
      <c r="D51" s="2" t="inlineStr">
        <is>
          <t xml:space="preserve"> 3 x 10/100/1000 baseT(RJ-45), 2 x Optical 1000 BASE-LX(LC)</t>
        </is>
      </c>
      <c r="E51" s="8" t="inlineStr">
        <is>
          <t>Interface Card</t>
        </is>
      </c>
      <c r="F51" s="8" t="inlineStr">
        <is>
          <t>INUe</t>
        </is>
      </c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>
        <is>
          <t>10/100/1000BaseT/DS3/E3</t>
        </is>
      </c>
      <c r="Q51" s="8" t="inlineStr"/>
      <c r="R51" s="8" t="inlineStr"/>
      <c r="S51" s="8" t="inlineStr"/>
      <c r="T51" s="8" t="inlineStr"/>
      <c r="U51" s="8" t="inlineStr"/>
    </row>
    <row r="52">
      <c r="A52" s="2" t="n">
        <v>51</v>
      </c>
      <c r="B52" s="2" t="inlineStr">
        <is>
          <t>K9175470</t>
        </is>
      </c>
      <c r="C52" s="2" t="inlineStr">
        <is>
          <t>HAX_8GHz, ODU600hp, Low band</t>
        </is>
      </c>
      <c r="D52" s="2" t="inlineStr">
        <is>
          <t>8GHz 옥외 설치용 무선 송수신부(Low Band)</t>
        </is>
      </c>
      <c r="E52" s="8" t="inlineStr">
        <is>
          <t>ODU/RFU</t>
        </is>
      </c>
      <c r="F52" s="8" t="inlineStr">
        <is>
          <t>ODU600</t>
        </is>
      </c>
      <c r="G52" s="8" t="inlineStr">
        <is>
          <t>8GHz</t>
        </is>
      </c>
      <c r="H52" s="8" t="inlineStr"/>
      <c r="I52" s="8" t="inlineStr">
        <is>
          <t>Low Band</t>
        </is>
      </c>
      <c r="J52" s="8" t="inlineStr">
        <is>
          <t>High Power(hp)</t>
        </is>
      </c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</row>
    <row r="53">
      <c r="A53" s="2" t="n">
        <v>52</v>
      </c>
      <c r="B53" s="2" t="inlineStr">
        <is>
          <t>K9175471</t>
        </is>
      </c>
      <c r="C53" s="2" t="inlineStr">
        <is>
          <t>HAX_8GHz, ODU600hp, High band</t>
        </is>
      </c>
      <c r="D53" s="2" t="inlineStr">
        <is>
          <t>8GHz 옥외 설치용 무선 송수신부(High Band)</t>
        </is>
      </c>
      <c r="E53" s="8" t="inlineStr">
        <is>
          <t>ODU/RFU</t>
        </is>
      </c>
      <c r="F53" s="8" t="inlineStr">
        <is>
          <t>ODU600</t>
        </is>
      </c>
      <c r="G53" s="8" t="inlineStr">
        <is>
          <t>8GHz</t>
        </is>
      </c>
      <c r="H53" s="8" t="inlineStr"/>
      <c r="I53" s="8" t="inlineStr">
        <is>
          <t>High Band</t>
        </is>
      </c>
      <c r="J53" s="8" t="inlineStr">
        <is>
          <t>High Power(hp)</t>
        </is>
      </c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</row>
    <row r="54">
      <c r="A54" s="2" t="n">
        <v>53</v>
      </c>
      <c r="B54" s="2" t="inlineStr">
        <is>
          <t>K9178534</t>
        </is>
      </c>
      <c r="C54" s="2" t="inlineStr">
        <is>
          <t>FLEXIBLE WAVEGUIDE, 7.125 - 8.500 GHZ, 1200MM, PDR84 FLANGES</t>
        </is>
      </c>
      <c r="D54" s="2" t="inlineStr">
        <is>
          <t>8Ghz용 W/G, ODU와 ANT연결용, 1200mm</t>
        </is>
      </c>
      <c r="E54" s="8" t="inlineStr">
        <is>
          <t>Waveguide</t>
        </is>
      </c>
      <c r="F54" s="8" t="inlineStr"/>
      <c r="G54" s="8" t="inlineStr">
        <is>
          <t>8GHz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>
        <is>
          <t>1200mm</t>
        </is>
      </c>
      <c r="R54" s="8" t="inlineStr">
        <is>
          <t>PDR84</t>
        </is>
      </c>
      <c r="S54" s="8" t="inlineStr"/>
      <c r="T54" s="8" t="inlineStr"/>
      <c r="U54" s="8" t="inlineStr"/>
    </row>
    <row r="55">
      <c r="A55" s="2" t="n">
        <v>54</v>
      </c>
      <c r="B55" s="2" t="inlineStr">
        <is>
          <t>K9183414</t>
        </is>
      </c>
      <c r="C55" s="2" t="inlineStr">
        <is>
          <t>HAX_L6GHz ODU600sp Low band</t>
        </is>
      </c>
      <c r="D55" s="2" t="inlineStr">
        <is>
          <t>L6GHz 옥외 설치용 무선 송수신부(Low Band)</t>
        </is>
      </c>
      <c r="E55" s="8" t="inlineStr">
        <is>
          <t>ODU/RFU</t>
        </is>
      </c>
      <c r="F55" s="8" t="inlineStr">
        <is>
          <t>ODU600</t>
        </is>
      </c>
      <c r="G55" s="8" t="inlineStr">
        <is>
          <t>L6GHz</t>
        </is>
      </c>
      <c r="H55" s="8" t="inlineStr">
        <is>
          <t>L6GHz</t>
        </is>
      </c>
      <c r="I55" s="8" t="inlineStr">
        <is>
          <t>Low Band</t>
        </is>
      </c>
      <c r="J55" s="8" t="inlineStr">
        <is>
          <t>표준출력(sp)</t>
        </is>
      </c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</row>
    <row r="56">
      <c r="A56" s="2" t="n">
        <v>55</v>
      </c>
      <c r="B56" s="2" t="inlineStr">
        <is>
          <t>K9183415</t>
        </is>
      </c>
      <c r="C56" s="2" t="inlineStr">
        <is>
          <t>HAX_L6GHz ODU600sp High band</t>
        </is>
      </c>
      <c r="D56" s="2" t="inlineStr">
        <is>
          <t>L6GHz 옥외 설치용 무선 송수신부(High Band)</t>
        </is>
      </c>
      <c r="E56" s="8" t="inlineStr">
        <is>
          <t>ODU/RFU</t>
        </is>
      </c>
      <c r="F56" s="8" t="inlineStr">
        <is>
          <t>ODU600</t>
        </is>
      </c>
      <c r="G56" s="8" t="inlineStr">
        <is>
          <t>L6GHz</t>
        </is>
      </c>
      <c r="H56" s="8" t="inlineStr">
        <is>
          <t>L6GHz</t>
        </is>
      </c>
      <c r="I56" s="8" t="inlineStr">
        <is>
          <t>High Band</t>
        </is>
      </c>
      <c r="J56" s="8" t="inlineStr">
        <is>
          <t>표준출력(sp)</t>
        </is>
      </c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</row>
    <row r="57">
      <c r="A57" s="2" t="n">
        <v>56</v>
      </c>
      <c r="B57" s="2" t="inlineStr">
        <is>
          <t>K9183416</t>
        </is>
      </c>
      <c r="C57" s="2" t="inlineStr">
        <is>
          <t>HAX_U6GHz ODU600sp Low band</t>
        </is>
      </c>
      <c r="D57" s="2" t="inlineStr">
        <is>
          <t>U6GHz 옥외 설치용 무선 송수신부(Low Band)</t>
        </is>
      </c>
      <c r="E57" s="8" t="inlineStr">
        <is>
          <t>ODU/RFU</t>
        </is>
      </c>
      <c r="F57" s="8" t="inlineStr">
        <is>
          <t>ODU600</t>
        </is>
      </c>
      <c r="G57" s="8" t="inlineStr">
        <is>
          <t>U6GHz</t>
        </is>
      </c>
      <c r="H57" s="8" t="inlineStr">
        <is>
          <t>U6GHz</t>
        </is>
      </c>
      <c r="I57" s="8" t="inlineStr">
        <is>
          <t>Low Band</t>
        </is>
      </c>
      <c r="J57" s="8" t="inlineStr">
        <is>
          <t>표준출력(sp)</t>
        </is>
      </c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</row>
    <row r="58">
      <c r="A58" s="2" t="n">
        <v>57</v>
      </c>
      <c r="B58" s="2" t="inlineStr">
        <is>
          <t>K9183417</t>
        </is>
      </c>
      <c r="C58" s="2" t="inlineStr">
        <is>
          <t>HAX_U6GHz ODU600sp High band</t>
        </is>
      </c>
      <c r="D58" s="2" t="inlineStr">
        <is>
          <t>U6GHz 옥외 설치용 무선 송수신부(High Band)</t>
        </is>
      </c>
      <c r="E58" s="8" t="inlineStr">
        <is>
          <t>ODU/RFU</t>
        </is>
      </c>
      <c r="F58" s="8" t="inlineStr">
        <is>
          <t>ODU600</t>
        </is>
      </c>
      <c r="G58" s="8" t="inlineStr">
        <is>
          <t>U6GHz</t>
        </is>
      </c>
      <c r="H58" s="8" t="inlineStr">
        <is>
          <t>U6GHz</t>
        </is>
      </c>
      <c r="I58" s="8" t="inlineStr">
        <is>
          <t>High Band</t>
        </is>
      </c>
      <c r="J58" s="8" t="inlineStr">
        <is>
          <t>표준출력(sp)</t>
        </is>
      </c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</row>
    <row r="59">
      <c r="A59" s="2" t="n">
        <v>58</v>
      </c>
      <c r="B59" s="2" t="inlineStr">
        <is>
          <t>K9183418</t>
        </is>
      </c>
      <c r="C59" s="2" t="inlineStr">
        <is>
          <t>HAX_8GHz ODU600sp Low band</t>
        </is>
      </c>
      <c r="D59" s="2" t="inlineStr">
        <is>
          <t>8GHz 옥외 설치용 무선 송수신부(Low Band)</t>
        </is>
      </c>
      <c r="E59" s="8" t="inlineStr">
        <is>
          <t>ODU/RFU</t>
        </is>
      </c>
      <c r="F59" s="8" t="inlineStr">
        <is>
          <t>ODU600</t>
        </is>
      </c>
      <c r="G59" s="8" t="inlineStr">
        <is>
          <t>8GHz</t>
        </is>
      </c>
      <c r="H59" s="8" t="inlineStr"/>
      <c r="I59" s="8" t="inlineStr">
        <is>
          <t>Low Band</t>
        </is>
      </c>
      <c r="J59" s="8" t="inlineStr">
        <is>
          <t>표준출력(sp)</t>
        </is>
      </c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</row>
    <row r="60">
      <c r="A60" s="2" t="n">
        <v>59</v>
      </c>
      <c r="B60" s="2" t="inlineStr">
        <is>
          <t>K9183419</t>
        </is>
      </c>
      <c r="C60" s="2" t="inlineStr">
        <is>
          <t>HAX_8GHz ODU600sp High band</t>
        </is>
      </c>
      <c r="D60" s="2" t="inlineStr">
        <is>
          <t>8GHz 옥외 설치용 무선 송수신부(High Band)</t>
        </is>
      </c>
      <c r="E60" s="8" t="inlineStr">
        <is>
          <t>ODU/RFU</t>
        </is>
      </c>
      <c r="F60" s="8" t="inlineStr">
        <is>
          <t>ODU600</t>
        </is>
      </c>
      <c r="G60" s="8" t="inlineStr">
        <is>
          <t>8GHz</t>
        </is>
      </c>
      <c r="H60" s="8" t="inlineStr"/>
      <c r="I60" s="8" t="inlineStr">
        <is>
          <t>High Band</t>
        </is>
      </c>
      <c r="J60" s="8" t="inlineStr">
        <is>
          <t>표준출력(sp)</t>
        </is>
      </c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</row>
    <row r="61">
      <c r="A61" s="2" t="n">
        <v>60</v>
      </c>
      <c r="B61" s="2" t="inlineStr">
        <is>
          <t>K9183420</t>
        </is>
      </c>
      <c r="C61" s="2" t="inlineStr">
        <is>
          <t>HAX_11GHz ODU600sp Low band</t>
        </is>
      </c>
      <c r="D61" s="2" t="inlineStr">
        <is>
          <t>11G 옥외 설치용 무선 송수신부 (Low Band)</t>
        </is>
      </c>
      <c r="E61" s="8" t="inlineStr">
        <is>
          <t>ODU/RFU</t>
        </is>
      </c>
      <c r="F61" s="8" t="inlineStr">
        <is>
          <t>ODU600</t>
        </is>
      </c>
      <c r="G61" s="8" t="inlineStr">
        <is>
          <t>11GHz</t>
        </is>
      </c>
      <c r="H61" s="8" t="inlineStr"/>
      <c r="I61" s="8" t="inlineStr">
        <is>
          <t>Low Band</t>
        </is>
      </c>
      <c r="J61" s="8" t="inlineStr">
        <is>
          <t>표준출력(sp)</t>
        </is>
      </c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</row>
    <row r="62">
      <c r="A62" s="2" t="n">
        <v>61</v>
      </c>
      <c r="B62" s="2" t="inlineStr">
        <is>
          <t>K9183421</t>
        </is>
      </c>
      <c r="C62" s="2" t="inlineStr">
        <is>
          <t>HAX_11GHz ODU600sp High band</t>
        </is>
      </c>
      <c r="D62" s="2" t="inlineStr">
        <is>
          <t>11G 옥외 설치용 무선 송수신부 (High Band)</t>
        </is>
      </c>
      <c r="E62" s="8" t="inlineStr">
        <is>
          <t>ODU/RFU</t>
        </is>
      </c>
      <c r="F62" s="8" t="inlineStr">
        <is>
          <t>ODU600</t>
        </is>
      </c>
      <c r="G62" s="8" t="inlineStr">
        <is>
          <t>11GHz</t>
        </is>
      </c>
      <c r="H62" s="8" t="inlineStr"/>
      <c r="I62" s="8" t="inlineStr">
        <is>
          <t>High Band</t>
        </is>
      </c>
      <c r="J62" s="8" t="inlineStr">
        <is>
          <t>표준출력(sp)</t>
        </is>
      </c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</row>
    <row r="63">
      <c r="A63" s="2" t="n">
        <v>62</v>
      </c>
      <c r="B63" s="2" t="inlineStr">
        <is>
          <t>K9183442</t>
        </is>
      </c>
      <c r="C63" s="2" t="inlineStr">
        <is>
          <t>HAX_IDU-INUe-RAC6XE</t>
        </is>
      </c>
      <c r="D63" s="2" t="inlineStr">
        <is>
          <t>RAC60 기능에 추가적으로 Co-channel 기능 지원</t>
        </is>
      </c>
      <c r="E63" s="8" t="inlineStr">
        <is>
          <t>Modem</t>
        </is>
      </c>
      <c r="F63" s="8" t="inlineStr">
        <is>
          <t>INUe</t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</row>
    <row r="64">
      <c r="A64" s="2" t="n">
        <v>63</v>
      </c>
      <c r="B64" s="2" t="inlineStr">
        <is>
          <t>K9183443</t>
        </is>
      </c>
      <c r="C64" s="2" t="inlineStr">
        <is>
          <t>HAX_IDU GE3 16X 16E1+GbE</t>
        </is>
      </c>
      <c r="D64" s="2" t="inlineStr">
        <is>
          <t>16E1+GbE</t>
        </is>
      </c>
      <c r="E64" s="8" t="inlineStr">
        <is>
          <t>Interface Card</t>
        </is>
      </c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>
        <is>
          <t>E1/GbE/DS3/E3</t>
        </is>
      </c>
      <c r="Q64" s="8" t="inlineStr"/>
      <c r="R64" s="8" t="inlineStr"/>
      <c r="S64" s="8" t="inlineStr"/>
      <c r="T64" s="8" t="inlineStr"/>
      <c r="U64" s="8" t="inlineStr"/>
    </row>
    <row r="65">
      <c r="A65" s="2" t="n">
        <v>64</v>
      </c>
      <c r="B65" s="2" t="inlineStr">
        <is>
          <t>K9183444</t>
        </is>
      </c>
      <c r="C65" s="2" t="inlineStr">
        <is>
          <t>HAX_SFP to SFP Cable Assembley</t>
        </is>
      </c>
      <c r="D65" s="2" t="inlineStr">
        <is>
          <t>GbE 보호용 광 패치케이블</t>
        </is>
      </c>
      <c r="E65" s="8" t="inlineStr">
        <is>
          <t>SFP/Optical Module</t>
        </is>
      </c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>
        <is>
          <t>GbE</t>
        </is>
      </c>
      <c r="Q65" s="8" t="inlineStr"/>
      <c r="R65" s="8" t="inlineStr"/>
      <c r="S65" s="8" t="inlineStr"/>
      <c r="T65" s="8" t="inlineStr"/>
      <c r="U65" s="8" t="inlineStr"/>
    </row>
    <row r="66">
      <c r="A66" s="2" t="n">
        <v>65</v>
      </c>
      <c r="B66" s="2" t="inlineStr">
        <is>
          <t>K9183445</t>
        </is>
      </c>
      <c r="C66" s="2" t="inlineStr">
        <is>
          <t>HAX_Optical Y-Cable Assembly(LC-LC to LC)</t>
        </is>
      </c>
      <c r="D66" s="2" t="inlineStr">
        <is>
          <t>GbE 보호용 광 Y-케이블</t>
        </is>
      </c>
      <c r="E66" s="8" t="inlineStr">
        <is>
          <t>Cable</t>
        </is>
      </c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>
        <is>
          <t>GbE</t>
        </is>
      </c>
      <c r="Q66" s="8" t="inlineStr"/>
      <c r="R66" s="8" t="inlineStr"/>
      <c r="S66" s="8" t="inlineStr"/>
      <c r="T66" s="8" t="inlineStr"/>
      <c r="U66" s="8" t="inlineStr"/>
    </row>
    <row r="67">
      <c r="A67" s="2" t="n">
        <v>66</v>
      </c>
      <c r="B67" s="2" t="inlineStr">
        <is>
          <t>K9183446</t>
        </is>
      </c>
      <c r="C67" s="2" t="inlineStr">
        <is>
          <t>HAX_IDU GE3 16X용 Full Node License</t>
        </is>
      </c>
      <c r="D67" s="2" t="inlineStr">
        <is>
          <t>Capacity : 400Mbps, High Power, ACM</t>
        </is>
      </c>
      <c r="E67" s="8" t="inlineStr">
        <is>
          <t>License</t>
        </is>
      </c>
      <c r="F67" s="8" t="inlineStr"/>
      <c r="G67" s="8" t="inlineStr"/>
      <c r="H67" s="8" t="inlineStr"/>
      <c r="I67" s="8" t="inlineStr">
        <is>
          <t>High Band</t>
        </is>
      </c>
      <c r="J67" s="8" t="inlineStr">
        <is>
          <t>High Power</t>
        </is>
      </c>
      <c r="K67" s="8" t="inlineStr"/>
      <c r="L67" s="8" t="inlineStr"/>
      <c r="M67" s="8" t="inlineStr"/>
      <c r="N67" s="8" t="inlineStr"/>
      <c r="O67" s="8" t="inlineStr"/>
      <c r="P67" s="8" t="inlineStr">
        <is>
          <t>DS3/E3</t>
        </is>
      </c>
      <c r="Q67" s="8" t="inlineStr"/>
      <c r="R67" s="8" t="inlineStr"/>
      <c r="S67" s="8" t="inlineStr"/>
      <c r="T67" s="8" t="inlineStr"/>
      <c r="U67" s="8" t="inlineStr"/>
    </row>
    <row r="68">
      <c r="A68" s="2" t="n">
        <v>67</v>
      </c>
      <c r="B68" s="2" t="inlineStr">
        <is>
          <t>K9183447</t>
        </is>
      </c>
      <c r="C68" s="2" t="inlineStr">
        <is>
          <t>HAX_IDU-INUe용 Full Node License</t>
        </is>
      </c>
      <c r="D68" s="2" t="inlineStr">
        <is>
          <t>Capacity : 1.2Gbps, L1LA, High Power, ACM</t>
        </is>
      </c>
      <c r="E68" s="8" t="inlineStr">
        <is>
          <t>License</t>
        </is>
      </c>
      <c r="F68" s="8" t="inlineStr">
        <is>
          <t>INUe</t>
        </is>
      </c>
      <c r="G68" s="8" t="inlineStr"/>
      <c r="H68" s="8" t="inlineStr"/>
      <c r="I68" s="8" t="inlineStr">
        <is>
          <t>High Band</t>
        </is>
      </c>
      <c r="J68" s="8" t="inlineStr">
        <is>
          <t>High Power</t>
        </is>
      </c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</row>
    <row r="69">
      <c r="A69" s="2" t="n">
        <v>68</v>
      </c>
      <c r="B69" s="2" t="inlineStr">
        <is>
          <t>K9188144</t>
        </is>
      </c>
      <c r="C69" s="2" t="inlineStr">
        <is>
          <t>CTR 8312 1RU Chassis</t>
        </is>
      </c>
      <c r="D69" s="2" t="inlineStr">
        <is>
          <t>2+0 패킷형 IDU</t>
        </is>
      </c>
      <c r="E69" s="8" t="inlineStr">
        <is>
          <t>IDU/Chassis</t>
        </is>
      </c>
      <c r="F69" s="8" t="inlineStr">
        <is>
          <t>CTR8312</t>
        </is>
      </c>
      <c r="G69" s="8" t="inlineStr"/>
      <c r="H69" s="8" t="inlineStr"/>
      <c r="I69" s="8" t="inlineStr"/>
      <c r="J69" s="8" t="inlineStr"/>
      <c r="K69" s="8" t="inlineStr"/>
      <c r="L69" s="8" t="inlineStr">
        <is>
          <t>2+0</t>
        </is>
      </c>
      <c r="M69" s="8" t="inlineStr"/>
      <c r="N69" s="8" t="inlineStr">
        <is>
          <t>1RU</t>
        </is>
      </c>
      <c r="O69" s="8" t="inlineStr"/>
      <c r="P69" s="8" t="inlineStr"/>
      <c r="Q69" s="8" t="inlineStr"/>
      <c r="R69" s="8" t="inlineStr"/>
      <c r="S69" s="8" t="inlineStr"/>
      <c r="T69" s="8" t="inlineStr"/>
      <c r="U69" s="8" t="inlineStr"/>
    </row>
    <row r="70">
      <c r="A70" s="2" t="n">
        <v>69</v>
      </c>
      <c r="B70" s="2" t="inlineStr">
        <is>
          <t>K9188145</t>
        </is>
      </c>
      <c r="C70" s="2" t="inlineStr">
        <is>
          <t>CTR 8540 1RU Chassis</t>
        </is>
      </c>
      <c r="D70" s="2" t="inlineStr">
        <is>
          <t>8+0 패킷형 IDU</t>
        </is>
      </c>
      <c r="E70" s="8" t="inlineStr">
        <is>
          <t>IDU/Chassis</t>
        </is>
      </c>
      <c r="F70" s="8" t="inlineStr">
        <is>
          <t>CTR8540</t>
        </is>
      </c>
      <c r="G70" s="8" t="inlineStr"/>
      <c r="H70" s="8" t="inlineStr"/>
      <c r="I70" s="8" t="inlineStr"/>
      <c r="J70" s="8" t="inlineStr"/>
      <c r="K70" s="8" t="inlineStr"/>
      <c r="L70" s="8" t="inlineStr">
        <is>
          <t>8+0</t>
        </is>
      </c>
      <c r="M70" s="8" t="inlineStr"/>
      <c r="N70" s="8" t="inlineStr">
        <is>
          <t>1RU</t>
        </is>
      </c>
      <c r="O70" s="8" t="inlineStr"/>
      <c r="P70" s="8" t="inlineStr"/>
      <c r="Q70" s="8" t="inlineStr"/>
      <c r="R70" s="8" t="inlineStr"/>
      <c r="S70" s="8" t="inlineStr"/>
      <c r="T70" s="8" t="inlineStr"/>
      <c r="U70" s="8" t="inlineStr"/>
    </row>
    <row r="71">
      <c r="A71" s="2" t="n">
        <v>70</v>
      </c>
      <c r="B71" s="2" t="inlineStr">
        <is>
          <t>K9188146</t>
        </is>
      </c>
      <c r="C71" s="2" t="inlineStr">
        <is>
          <t>CTR 8540 RACx2 Dual IF Radio Access Module</t>
        </is>
      </c>
      <c r="D71" s="2" t="inlineStr">
        <is>
          <t>듀얼 모뎀카드</t>
        </is>
      </c>
      <c r="E71" s="8" t="inlineStr">
        <is>
          <t>ODU/RFU</t>
        </is>
      </c>
      <c r="F71" s="8" t="inlineStr">
        <is>
          <t>CTR8540</t>
        </is>
      </c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>
        <is>
          <t>이중편파(Dual-Pol)</t>
        </is>
      </c>
      <c r="U71" s="8" t="inlineStr"/>
    </row>
    <row r="72">
      <c r="A72" s="2" t="n">
        <v>71</v>
      </c>
      <c r="B72" s="2" t="inlineStr">
        <is>
          <t>K9188147</t>
        </is>
      </c>
      <c r="C72" s="2" t="inlineStr">
        <is>
          <t>CTR 8540 Redundant Power Supply Module</t>
        </is>
      </c>
      <c r="D72" s="2" t="inlineStr">
        <is>
          <t>전원카드</t>
        </is>
      </c>
      <c r="E72" s="8" t="inlineStr">
        <is>
          <t>PDP/Power</t>
        </is>
      </c>
      <c r="F72" s="8" t="inlineStr">
        <is>
          <t>CTR8540</t>
        </is>
      </c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</row>
    <row r="73">
      <c r="A73" s="2" t="n">
        <v>72</v>
      </c>
      <c r="B73" s="2" t="inlineStr">
        <is>
          <t>K9188148</t>
        </is>
      </c>
      <c r="C73" s="2" t="inlineStr">
        <is>
          <t>CTR 8540 PoEx2  Module</t>
        </is>
      </c>
      <c r="D73" s="2" t="inlineStr">
        <is>
          <t>PoE카드</t>
        </is>
      </c>
      <c r="E73" s="8" t="inlineStr">
        <is>
          <t>ODU/RFU</t>
        </is>
      </c>
      <c r="F73" s="8" t="inlineStr">
        <is>
          <t>CTR8540</t>
        </is>
      </c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</row>
    <row r="74">
      <c r="A74" s="2" t="n">
        <v>73</v>
      </c>
      <c r="B74" s="2" t="inlineStr">
        <is>
          <t>K9188149</t>
        </is>
      </c>
      <c r="C74" s="2" t="inlineStr">
        <is>
          <t>CTR 8540 FAN Module</t>
        </is>
      </c>
      <c r="D74" s="2" t="inlineStr">
        <is>
          <t>팬 카드</t>
        </is>
      </c>
      <c r="E74" s="8" t="inlineStr">
        <is>
          <t>Fan</t>
        </is>
      </c>
      <c r="F74" s="8" t="inlineStr">
        <is>
          <t>CTR8540</t>
        </is>
      </c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</row>
    <row r="75">
      <c r="A75" s="2" t="n">
        <v>74</v>
      </c>
      <c r="B75" s="2" t="inlineStr">
        <is>
          <t>K9188150</t>
        </is>
      </c>
      <c r="C75" s="2" t="inlineStr">
        <is>
          <t>11GHz, ODU600hp, Low band</t>
        </is>
      </c>
      <c r="D75" s="2" t="inlineStr">
        <is>
          <t>11G 옥외 설치용 무선 송수신부 (Low Band)</t>
        </is>
      </c>
      <c r="E75" s="8" t="inlineStr">
        <is>
          <t>ODU/RFU</t>
        </is>
      </c>
      <c r="F75" s="8" t="inlineStr">
        <is>
          <t>ODU600</t>
        </is>
      </c>
      <c r="G75" s="8" t="inlineStr">
        <is>
          <t>11GHz</t>
        </is>
      </c>
      <c r="H75" s="8" t="inlineStr"/>
      <c r="I75" s="8" t="inlineStr">
        <is>
          <t>Low Band</t>
        </is>
      </c>
      <c r="J75" s="8" t="inlineStr">
        <is>
          <t>High Power(hp)</t>
        </is>
      </c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</row>
    <row r="76">
      <c r="A76" s="2" t="n">
        <v>75</v>
      </c>
      <c r="B76" s="2" t="inlineStr">
        <is>
          <t>K9188151</t>
        </is>
      </c>
      <c r="C76" s="2" t="inlineStr">
        <is>
          <t>11GHz, ODU600hp, High band</t>
        </is>
      </c>
      <c r="D76" s="2" t="inlineStr">
        <is>
          <t>11G 옥외 설치용 무선 송수신부 (High Band)</t>
        </is>
      </c>
      <c r="E76" s="8" t="inlineStr">
        <is>
          <t>ODU/RFU</t>
        </is>
      </c>
      <c r="F76" s="8" t="inlineStr">
        <is>
          <t>ODU600</t>
        </is>
      </c>
      <c r="G76" s="8" t="inlineStr">
        <is>
          <t>11GHz</t>
        </is>
      </c>
      <c r="H76" s="8" t="inlineStr"/>
      <c r="I76" s="8" t="inlineStr">
        <is>
          <t>High Band</t>
        </is>
      </c>
      <c r="J76" s="8" t="inlineStr">
        <is>
          <t>High Power(hp)</t>
        </is>
      </c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</row>
    <row r="77">
      <c r="A77" s="2" t="n">
        <v>76</v>
      </c>
      <c r="B77" s="2" t="inlineStr">
        <is>
          <t>K9188152</t>
        </is>
      </c>
      <c r="C77" s="2" t="inlineStr">
        <is>
          <t>ODU 600T, 8 GHz, TRANSCEIVER</t>
        </is>
      </c>
      <c r="D77" s="2" t="inlineStr">
        <is>
          <t>Outdoor Transceiver</t>
        </is>
      </c>
      <c r="E77" s="8" t="inlineStr">
        <is>
          <t>ODU/RFU</t>
        </is>
      </c>
      <c r="F77" s="8" t="inlineStr">
        <is>
          <t>ODU600</t>
        </is>
      </c>
      <c r="G77" s="8" t="inlineStr">
        <is>
          <t>8GHz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</row>
    <row r="78">
      <c r="A78" s="2" t="n">
        <v>77</v>
      </c>
      <c r="B78" s="2" t="inlineStr">
        <is>
          <t>K9188153</t>
        </is>
      </c>
      <c r="C78" s="2" t="inlineStr">
        <is>
          <t>ODU 600T, 11 GHz, TRANSCEIVER</t>
        </is>
      </c>
      <c r="D78" s="2" t="inlineStr">
        <is>
          <t>Outdoor Transceiver</t>
        </is>
      </c>
      <c r="E78" s="8" t="inlineStr">
        <is>
          <t>ODU/RFU</t>
        </is>
      </c>
      <c r="F78" s="8" t="inlineStr">
        <is>
          <t>ODU600</t>
        </is>
      </c>
      <c r="G78" s="8" t="inlineStr">
        <is>
          <t>11GHz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</row>
    <row r="79">
      <c r="A79" s="2" t="n">
        <v>78</v>
      </c>
      <c r="B79" s="2" t="inlineStr">
        <is>
          <t>K9188154</t>
        </is>
      </c>
      <c r="C79" s="2" t="inlineStr">
        <is>
          <t>8 GHz OBU SINGLE POL, 4 PORT, PLAN A (6x40MHz)</t>
        </is>
      </c>
      <c r="D79" s="2" t="inlineStr">
        <is>
          <t>ODU 브랜칭 유니트</t>
        </is>
      </c>
      <c r="E79" s="8" t="inlineStr">
        <is>
          <t>ODU/RFU</t>
        </is>
      </c>
      <c r="F79" s="8" t="inlineStr"/>
      <c r="G79" s="8" t="inlineStr">
        <is>
          <t>8GHz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>
        <is>
          <t>4Port</t>
        </is>
      </c>
      <c r="P79" s="8" t="inlineStr"/>
      <c r="Q79" s="8" t="inlineStr"/>
      <c r="R79" s="8" t="inlineStr"/>
      <c r="S79" s="8" t="inlineStr"/>
      <c r="T79" s="8" t="inlineStr">
        <is>
          <t>단일편파(Single-Pol)</t>
        </is>
      </c>
      <c r="U79" s="8" t="inlineStr"/>
    </row>
    <row r="80">
      <c r="A80" s="2" t="n">
        <v>79</v>
      </c>
      <c r="B80" s="2" t="inlineStr">
        <is>
          <t>K9188155</t>
        </is>
      </c>
      <c r="C80" s="2" t="inlineStr">
        <is>
          <t>11 GHz OBU SINGLE POL, 4 PORT, PLAN A (12x40MHz)</t>
        </is>
      </c>
      <c r="D80" s="2" t="inlineStr">
        <is>
          <t>ODU 브랜칭 유니트</t>
        </is>
      </c>
      <c r="E80" s="8" t="inlineStr">
        <is>
          <t>ODU/RFU</t>
        </is>
      </c>
      <c r="F80" s="8" t="inlineStr"/>
      <c r="G80" s="8" t="inlineStr">
        <is>
          <t>11GHz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>
        <is>
          <t>4Port</t>
        </is>
      </c>
      <c r="P80" s="8" t="inlineStr"/>
      <c r="Q80" s="8" t="inlineStr"/>
      <c r="R80" s="8" t="inlineStr"/>
      <c r="S80" s="8" t="inlineStr"/>
      <c r="T80" s="8" t="inlineStr">
        <is>
          <t>단일편파(Single-Pol)</t>
        </is>
      </c>
      <c r="U80" s="8" t="inlineStr"/>
    </row>
    <row r="81">
      <c r="A81" s="2" t="n">
        <v>80</v>
      </c>
      <c r="B81" s="2" t="inlineStr">
        <is>
          <t>K9210278</t>
        </is>
      </c>
      <c r="C81" s="2" t="inlineStr">
        <is>
          <t>SFP TSoP STM-1/OC3 over Gig-E Module</t>
        </is>
      </c>
      <c r="D81" s="2" t="inlineStr">
        <is>
          <t>SFP TSoP STM-1 광모듈</t>
        </is>
      </c>
      <c r="E81" s="8" t="inlineStr">
        <is>
          <t>ODU/RFU</t>
        </is>
      </c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>
        <is>
          <t>STM-1</t>
        </is>
      </c>
      <c r="Q81" s="8" t="inlineStr"/>
      <c r="R81" s="8" t="inlineStr"/>
      <c r="S81" s="8" t="inlineStr"/>
      <c r="T81" s="8" t="inlineStr"/>
      <c r="U81" s="8" t="inlineStr"/>
    </row>
    <row r="82">
      <c r="A82" s="2" t="n">
        <v>81</v>
      </c>
      <c r="B82" s="2" t="inlineStr">
        <is>
          <t>K9188157</t>
        </is>
      </c>
      <c r="C82" s="2" t="inlineStr">
        <is>
          <t>OBU Dummy Load</t>
        </is>
      </c>
      <c r="D82" s="2" t="inlineStr">
        <is>
          <t>OBU Termination Load</t>
        </is>
      </c>
      <c r="E82" s="8" t="inlineStr">
        <is>
          <t>ODU/RFU</t>
        </is>
      </c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</row>
    <row r="83">
      <c r="A83" s="2" t="n">
        <v>82</v>
      </c>
      <c r="B83" s="2" t="inlineStr">
        <is>
          <t>K9188158</t>
        </is>
      </c>
      <c r="C83" s="2" t="inlineStr">
        <is>
          <t>E1 Single Cable, 15m, for CTR 8312&amp;8540</t>
        </is>
      </c>
      <c r="D83" s="2" t="inlineStr">
        <is>
          <t>1개에 단일 8E1용 수용(신형)</t>
        </is>
      </c>
      <c r="E83" s="8" t="inlineStr">
        <is>
          <t>Cable</t>
        </is>
      </c>
      <c r="F83" s="8" t="inlineStr">
        <is>
          <t>CTR8312</t>
        </is>
      </c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>
        <is>
          <t>E1</t>
        </is>
      </c>
      <c r="Q83" s="8" t="inlineStr">
        <is>
          <t>15m</t>
        </is>
      </c>
      <c r="R83" s="8" t="inlineStr"/>
      <c r="S83" s="8" t="inlineStr"/>
      <c r="T83" s="8" t="inlineStr"/>
      <c r="U83" s="8" t="inlineStr"/>
    </row>
    <row r="84">
      <c r="A84" s="2" t="n">
        <v>83</v>
      </c>
      <c r="B84" s="2" t="inlineStr">
        <is>
          <t>K9188159</t>
        </is>
      </c>
      <c r="C84" s="2" t="inlineStr">
        <is>
          <t>FLEXIBLE WAVEGUIDE, 10.7 - 11.7 GHZ, 1200MM, PDR100 FLANGES</t>
        </is>
      </c>
      <c r="D84" s="2" t="inlineStr">
        <is>
          <t>11Ghz용 W/G, ODU와 ANT연결용, 1200mm</t>
        </is>
      </c>
      <c r="E84" s="8" t="inlineStr">
        <is>
          <t>Waveguide</t>
        </is>
      </c>
      <c r="F84" s="8" t="inlineStr"/>
      <c r="G84" s="8" t="inlineStr">
        <is>
          <t>11GHz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>
        <is>
          <t>1200mm</t>
        </is>
      </c>
      <c r="R84" s="8" t="inlineStr">
        <is>
          <t>PDR100</t>
        </is>
      </c>
      <c r="S84" s="8" t="inlineStr"/>
      <c r="T84" s="8" t="inlineStr"/>
      <c r="U84" s="8" t="inlineStr"/>
    </row>
    <row r="85">
      <c r="A85" s="2" t="n">
        <v>84</v>
      </c>
      <c r="B85" s="2" t="inlineStr">
        <is>
          <t>K9188160</t>
        </is>
      </c>
      <c r="C85" s="2" t="inlineStr">
        <is>
          <t>CTR 8312 Node License</t>
        </is>
      </c>
      <c r="D85" s="2" t="inlineStr">
        <is>
          <t>노드 라이선스</t>
        </is>
      </c>
      <c r="E85" s="8" t="inlineStr">
        <is>
          <t>License</t>
        </is>
      </c>
      <c r="F85" s="8" t="inlineStr">
        <is>
          <t>CTR8312</t>
        </is>
      </c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</row>
    <row r="86">
      <c r="A86" s="2" t="n">
        <v>85</v>
      </c>
      <c r="B86" s="2" t="inlineStr">
        <is>
          <t>K9188162</t>
        </is>
      </c>
      <c r="C86" s="2" t="inlineStr">
        <is>
          <t>CTR 8540 Node License</t>
        </is>
      </c>
      <c r="D86" s="2" t="inlineStr">
        <is>
          <t>노드 라이선스</t>
        </is>
      </c>
      <c r="E86" s="8" t="inlineStr">
        <is>
          <t>License</t>
        </is>
      </c>
      <c r="F86" s="8" t="inlineStr">
        <is>
          <t>CTR8540</t>
        </is>
      </c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</row>
    <row r="87">
      <c r="A87" s="2" t="n">
        <v>86</v>
      </c>
      <c r="B87" s="2" t="inlineStr">
        <is>
          <t>K9193433</t>
        </is>
      </c>
      <c r="C87" s="2" t="inlineStr">
        <is>
          <t>AVIAT_ANT-HP-DP-2FT-8</t>
        </is>
      </c>
      <c r="D87" s="2" t="inlineStr">
        <is>
          <t>듀얼/이중극성(V극성+H극성) 파라볼릭 안테나(Size: 2피트, 주파수 대역: 8GHz)</t>
        </is>
      </c>
      <c r="E87" s="8" t="inlineStr">
        <is>
          <t>Antenna</t>
        </is>
      </c>
      <c r="F87" s="8" t="inlineStr"/>
      <c r="G87" s="8" t="inlineStr">
        <is>
          <t>8GHz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>
        <is>
          <t>2ft</t>
        </is>
      </c>
      <c r="T87" s="8" t="inlineStr">
        <is>
          <t>이중편파(Dual-Pol)</t>
        </is>
      </c>
      <c r="U87" s="8" t="inlineStr"/>
    </row>
    <row r="88">
      <c r="A88" s="2" t="n">
        <v>87</v>
      </c>
      <c r="B88" s="2" t="inlineStr">
        <is>
          <t>K9193434</t>
        </is>
      </c>
      <c r="C88" s="2" t="inlineStr">
        <is>
          <t>AVIAT_ANT-HP-DP-2FT-11</t>
        </is>
      </c>
      <c r="D88" s="2" t="inlineStr">
        <is>
          <t>듀얼/이중극성(V극성+H극성) 파라볼릭 안테나(Size: 2피트, 주파수 대역: 11GHz)</t>
        </is>
      </c>
      <c r="E88" s="8" t="inlineStr">
        <is>
          <t>Antenna</t>
        </is>
      </c>
      <c r="F88" s="8" t="inlineStr"/>
      <c r="G88" s="8" t="inlineStr">
        <is>
          <t>11GHz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>
        <is>
          <t>2ft</t>
        </is>
      </c>
      <c r="T88" s="8" t="inlineStr">
        <is>
          <t>이중편파(Dual-Pol)</t>
        </is>
      </c>
      <c r="U88" s="8" t="inlineStr"/>
    </row>
    <row r="89">
      <c r="A89" s="2" t="n">
        <v>88</v>
      </c>
      <c r="B89" s="2" t="inlineStr">
        <is>
          <t>K9193435</t>
        </is>
      </c>
      <c r="C89" s="2" t="inlineStr">
        <is>
          <t>AVIAT_ANT-HP-DP-4FT-8</t>
        </is>
      </c>
      <c r="D89" s="2" t="inlineStr">
        <is>
          <t>듀얼/이중극성(V극성+H극성) 파라볼릭 안테나(Size: 4피트, 주파수 대역: 8GHz)</t>
        </is>
      </c>
      <c r="E89" s="8" t="inlineStr">
        <is>
          <t>Antenna</t>
        </is>
      </c>
      <c r="F89" s="8" t="inlineStr"/>
      <c r="G89" s="8" t="inlineStr">
        <is>
          <t>8GHz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>
        <is>
          <t>4ft</t>
        </is>
      </c>
      <c r="T89" s="8" t="inlineStr">
        <is>
          <t>이중편파(Dual-Pol)</t>
        </is>
      </c>
      <c r="U89" s="8" t="inlineStr"/>
    </row>
    <row r="90">
      <c r="A90" s="2" t="n">
        <v>89</v>
      </c>
      <c r="B90" s="2" t="inlineStr">
        <is>
          <t>K9193436</t>
        </is>
      </c>
      <c r="C90" s="2" t="inlineStr">
        <is>
          <t>AVIAT_ANT-HP-DP-4FT-11</t>
        </is>
      </c>
      <c r="D90" s="2" t="inlineStr">
        <is>
          <t>듀얼/이중극성(V극성+H극성) 파라볼릭 안테나(Size: 4피트, 주파수 대역: 11GHz)</t>
        </is>
      </c>
      <c r="E90" s="8" t="inlineStr">
        <is>
          <t>Antenna</t>
        </is>
      </c>
      <c r="F90" s="8" t="inlineStr"/>
      <c r="G90" s="8" t="inlineStr">
        <is>
          <t>11GHz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>
        <is>
          <t>4ft</t>
        </is>
      </c>
      <c r="T90" s="8" t="inlineStr">
        <is>
          <t>이중편파(Dual-Pol)</t>
        </is>
      </c>
      <c r="U90" s="8" t="inlineStr"/>
    </row>
    <row r="91">
      <c r="A91" s="2" t="n">
        <v>90</v>
      </c>
      <c r="B91" s="2" t="inlineStr">
        <is>
          <t>K9193437</t>
        </is>
      </c>
      <c r="C91" s="2" t="inlineStr">
        <is>
          <t>AVIAT_ANT-HP-DP-6FT-8</t>
        </is>
      </c>
      <c r="D91" s="2" t="inlineStr">
        <is>
          <t>듀얼/이중극성(V극성+H극성) 파라볼릭 안테나(Size: 6피트, 주파수 대역: 8GHz)</t>
        </is>
      </c>
      <c r="E91" s="8" t="inlineStr">
        <is>
          <t>Antenna</t>
        </is>
      </c>
      <c r="F91" s="8" t="inlineStr"/>
      <c r="G91" s="8" t="inlineStr">
        <is>
          <t>8GHz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>
        <is>
          <t>6ft</t>
        </is>
      </c>
      <c r="T91" s="8" t="inlineStr">
        <is>
          <t>이중편파(Dual-Pol)</t>
        </is>
      </c>
      <c r="U91" s="8" t="inlineStr"/>
    </row>
    <row r="92">
      <c r="A92" s="2" t="n">
        <v>91</v>
      </c>
      <c r="B92" s="2" t="inlineStr">
        <is>
          <t>K9193438</t>
        </is>
      </c>
      <c r="C92" s="2" t="inlineStr">
        <is>
          <t>AVIAT_ANT-HP-DP-6FT-11</t>
        </is>
      </c>
      <c r="D92" s="2" t="inlineStr">
        <is>
          <t>듀얼/이중극성(V극성+H극성) 파라볼릭 안테나(Size: 6피트, 주파수 대역: 11GHz)</t>
        </is>
      </c>
      <c r="E92" s="8" t="inlineStr">
        <is>
          <t>Antenna</t>
        </is>
      </c>
      <c r="F92" s="8" t="inlineStr"/>
      <c r="G92" s="8" t="inlineStr">
        <is>
          <t>11GHz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>
        <is>
          <t>6ft</t>
        </is>
      </c>
      <c r="T92" s="8" t="inlineStr">
        <is>
          <t>이중편파(Dual-Pol)</t>
        </is>
      </c>
      <c r="U92" s="8" t="inlineStr"/>
    </row>
    <row r="93">
      <c r="A93" s="2" t="n">
        <v>92</v>
      </c>
      <c r="B93" s="2" t="inlineStr">
        <is>
          <t>K9193439</t>
        </is>
      </c>
      <c r="C93" s="2" t="inlineStr">
        <is>
          <t>AVIAT_ANT-HP-DP-8FT-8</t>
        </is>
      </c>
      <c r="D93" s="2" t="inlineStr">
        <is>
          <t>듀얼/이중극성(V극성+H극성) 파라볼릭 안테나(Size: 8피트, 주파수 대역: 8GHz)</t>
        </is>
      </c>
      <c r="E93" s="8" t="inlineStr">
        <is>
          <t>Antenna</t>
        </is>
      </c>
      <c r="F93" s="8" t="inlineStr"/>
      <c r="G93" s="8" t="inlineStr">
        <is>
          <t>8GHz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>
        <is>
          <t>8ft</t>
        </is>
      </c>
      <c r="T93" s="8" t="inlineStr">
        <is>
          <t>이중편파(Dual-Pol)</t>
        </is>
      </c>
      <c r="U93" s="8" t="inlineStr"/>
    </row>
    <row r="94">
      <c r="A94" s="2" t="n">
        <v>93</v>
      </c>
      <c r="B94" s="2" t="inlineStr">
        <is>
          <t>K9193440</t>
        </is>
      </c>
      <c r="C94" s="2" t="inlineStr">
        <is>
          <t>AVIAT_ANT-HP-DP-8FT-11</t>
        </is>
      </c>
      <c r="D94" s="2" t="inlineStr">
        <is>
          <t>듀얼/이중극성(V극성+H극성) 파라볼릭 안테나(Size: 8피트, 주파수 대역: 11GHz)</t>
        </is>
      </c>
      <c r="E94" s="8" t="inlineStr">
        <is>
          <t>Antenna</t>
        </is>
      </c>
      <c r="F94" s="8" t="inlineStr"/>
      <c r="G94" s="8" t="inlineStr">
        <is>
          <t>11GHz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>
        <is>
          <t>8ft</t>
        </is>
      </c>
      <c r="T94" s="8" t="inlineStr">
        <is>
          <t>이중편파(Dual-Pol)</t>
        </is>
      </c>
      <c r="U94" s="8" t="inlineStr"/>
    </row>
    <row r="95">
      <c r="A95" s="2" t="n">
        <v>94</v>
      </c>
      <c r="B95" s="2" t="inlineStr">
        <is>
          <t>K9193441</t>
        </is>
      </c>
      <c r="C95" s="2" t="inlineStr">
        <is>
          <t>AVIAT_ANT-HP-DP-10FT-8</t>
        </is>
      </c>
      <c r="D95" s="2" t="inlineStr">
        <is>
          <t>듀얼/이중극성(V극성+H극성) 파라볼릭 안테나(Size: 10피트, 주파수 대역: 8GHz)</t>
        </is>
      </c>
      <c r="E95" s="8" t="inlineStr">
        <is>
          <t>Antenna</t>
        </is>
      </c>
      <c r="F95" s="8" t="inlineStr"/>
      <c r="G95" s="8" t="inlineStr">
        <is>
          <t>8GHz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>
        <is>
          <t>10ft</t>
        </is>
      </c>
      <c r="T95" s="8" t="inlineStr">
        <is>
          <t>이중편파(Dual-Pol)</t>
        </is>
      </c>
      <c r="U95" s="8" t="inlineStr"/>
    </row>
    <row r="96">
      <c r="A96" s="2" t="n">
        <v>95</v>
      </c>
      <c r="B96" s="2" t="inlineStr">
        <is>
          <t>K9193442</t>
        </is>
      </c>
      <c r="C96" s="2" t="inlineStr">
        <is>
          <t>AVIAT_ANT-HP-DP-10FT-11</t>
        </is>
      </c>
      <c r="D96" s="2" t="inlineStr">
        <is>
          <t>듀얼/이중극성(V극성+H극성) 파라볼릭 안테나(Size: 10피트, 주파수 대역: 11GHz)</t>
        </is>
      </c>
      <c r="E96" s="8" t="inlineStr">
        <is>
          <t>Antenna</t>
        </is>
      </c>
      <c r="F96" s="8" t="inlineStr"/>
      <c r="G96" s="8" t="inlineStr">
        <is>
          <t>11GHz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>
        <is>
          <t>10ft</t>
        </is>
      </c>
      <c r="T96" s="8" t="inlineStr">
        <is>
          <t>이중편파(Dual-Pol)</t>
        </is>
      </c>
      <c r="U96" s="8" t="inlineStr"/>
    </row>
    <row r="97">
      <c r="A97" s="2" t="n">
        <v>96</v>
      </c>
      <c r="B97" s="2" t="inlineStr">
        <is>
          <t>K9198293</t>
        </is>
      </c>
      <c r="C97" s="2" t="inlineStr">
        <is>
          <t>8GHz ODU600v2 Low band</t>
        </is>
      </c>
      <c r="D97" s="2" t="inlineStr">
        <is>
          <t>신형 8G 옥외 설치용 무선 송수신부 (Low Band)</t>
        </is>
      </c>
      <c r="E97" s="8" t="inlineStr">
        <is>
          <t>ODU/RFU</t>
        </is>
      </c>
      <c r="F97" s="8" t="inlineStr">
        <is>
          <t>ODU600</t>
        </is>
      </c>
      <c r="G97" s="8" t="inlineStr">
        <is>
          <t>8GHz</t>
        </is>
      </c>
      <c r="H97" s="8" t="inlineStr"/>
      <c r="I97" s="8" t="inlineStr">
        <is>
          <t>Low Band</t>
        </is>
      </c>
      <c r="J97" s="8" t="inlineStr">
        <is>
          <t>신형(v2)</t>
        </is>
      </c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</row>
    <row r="98">
      <c r="A98" s="2" t="n">
        <v>97</v>
      </c>
      <c r="B98" s="2" t="inlineStr">
        <is>
          <t>K9198316</t>
        </is>
      </c>
      <c r="C98" s="2" t="inlineStr">
        <is>
          <t>WTM 4200 Node License</t>
        </is>
      </c>
      <c r="D98" s="2" t="inlineStr">
        <is>
          <t>노드 라이선스</t>
        </is>
      </c>
      <c r="E98" s="8" t="inlineStr">
        <is>
          <t>License</t>
        </is>
      </c>
      <c r="F98" s="8" t="inlineStr">
        <is>
          <t>WTM4200</t>
        </is>
      </c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</row>
    <row r="99">
      <c r="A99" s="2" t="n">
        <v>98</v>
      </c>
      <c r="B99" s="2" t="inlineStr">
        <is>
          <t>K9198322</t>
        </is>
      </c>
      <c r="C99" s="2" t="inlineStr">
        <is>
          <t>8GHz ODU600v2 High band</t>
        </is>
      </c>
      <c r="D99" s="2" t="inlineStr">
        <is>
          <t>신형 8G 옥외 설치용 무선 송수신부 (High Band)</t>
        </is>
      </c>
      <c r="E99" s="8" t="inlineStr">
        <is>
          <t>ODU/RFU</t>
        </is>
      </c>
      <c r="F99" s="8" t="inlineStr">
        <is>
          <t>ODU600</t>
        </is>
      </c>
      <c r="G99" s="8" t="inlineStr">
        <is>
          <t>8GHz</t>
        </is>
      </c>
      <c r="H99" s="8" t="inlineStr"/>
      <c r="I99" s="8" t="inlineStr">
        <is>
          <t>High Band</t>
        </is>
      </c>
      <c r="J99" s="8" t="inlineStr">
        <is>
          <t>신형(v2)</t>
        </is>
      </c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</row>
    <row r="100">
      <c r="A100" s="2" t="n">
        <v>99</v>
      </c>
      <c r="B100" s="2" t="inlineStr">
        <is>
          <t>K9198323</t>
        </is>
      </c>
      <c r="C100" s="2" t="inlineStr">
        <is>
          <t>11GHz ODU600v2 Low band</t>
        </is>
      </c>
      <c r="D100" s="2" t="inlineStr">
        <is>
          <t>신형 11G 옥외 설치용 무선 송수신부 (Low Band)</t>
        </is>
      </c>
      <c r="E100" s="8" t="inlineStr">
        <is>
          <t>ODU/RFU</t>
        </is>
      </c>
      <c r="F100" s="8" t="inlineStr">
        <is>
          <t>ODU600</t>
        </is>
      </c>
      <c r="G100" s="8" t="inlineStr">
        <is>
          <t>11GHz</t>
        </is>
      </c>
      <c r="H100" s="8" t="inlineStr"/>
      <c r="I100" s="8" t="inlineStr">
        <is>
          <t>Low Band</t>
        </is>
      </c>
      <c r="J100" s="8" t="inlineStr">
        <is>
          <t>신형(v2)</t>
        </is>
      </c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</row>
    <row r="101">
      <c r="A101" s="2" t="n">
        <v>100</v>
      </c>
      <c r="B101" s="2" t="inlineStr">
        <is>
          <t>K9198324</t>
        </is>
      </c>
      <c r="C101" s="2" t="inlineStr">
        <is>
          <t>11GHz ODU600v2 High band</t>
        </is>
      </c>
      <c r="D101" s="2" t="inlineStr">
        <is>
          <t>신형 11G 옥외 설치용 무선 송수신부 (High Band)</t>
        </is>
      </c>
      <c r="E101" s="8" t="inlineStr">
        <is>
          <t>ODU/RFU</t>
        </is>
      </c>
      <c r="F101" s="8" t="inlineStr">
        <is>
          <t>ODU600</t>
        </is>
      </c>
      <c r="G101" s="8" t="inlineStr">
        <is>
          <t>11GHz</t>
        </is>
      </c>
      <c r="H101" s="8" t="inlineStr"/>
      <c r="I101" s="8" t="inlineStr">
        <is>
          <t>High Band</t>
        </is>
      </c>
      <c r="J101" s="8" t="inlineStr">
        <is>
          <t>신형(v2)</t>
        </is>
      </c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</row>
    <row r="102">
      <c r="A102" s="2" t="n">
        <v>101</v>
      </c>
      <c r="B102" s="2" t="inlineStr">
        <is>
          <t>K9198325</t>
        </is>
      </c>
      <c r="C102" s="2" t="inlineStr">
        <is>
          <t>8GHz WTM 4200 Low band</t>
        </is>
      </c>
      <c r="D102" s="2" t="inlineStr">
        <is>
          <t>IDU+ODU 통합형(일체형) Dual Tranceiver (2*RF) All Outdoor System, 8G Low Band</t>
        </is>
      </c>
      <c r="E102" s="8" t="inlineStr">
        <is>
          <t>WTM</t>
        </is>
      </c>
      <c r="F102" s="8" t="inlineStr">
        <is>
          <t>WTM4200</t>
        </is>
      </c>
      <c r="G102" s="8" t="inlineStr">
        <is>
          <t>8GHz</t>
        </is>
      </c>
      <c r="H102" s="8" t="inlineStr"/>
      <c r="I102" s="8" t="inlineStr">
        <is>
          <t>Low Band</t>
        </is>
      </c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</row>
    <row r="103">
      <c r="A103" s="2" t="n">
        <v>102</v>
      </c>
      <c r="B103" s="2" t="inlineStr">
        <is>
          <t>K9198326</t>
        </is>
      </c>
      <c r="C103" s="2" t="inlineStr">
        <is>
          <t>8GHz WTM 4200 High band</t>
        </is>
      </c>
      <c r="D103" s="2" t="inlineStr">
        <is>
          <t>IDU+ODU 통합형(일체형) Dual Tranceiver (2*RF) All Outdoor System, 8G High Band</t>
        </is>
      </c>
      <c r="E103" s="8" t="inlineStr">
        <is>
          <t>WTM</t>
        </is>
      </c>
      <c r="F103" s="8" t="inlineStr">
        <is>
          <t>WTM4200</t>
        </is>
      </c>
      <c r="G103" s="8" t="inlineStr">
        <is>
          <t>8GHz</t>
        </is>
      </c>
      <c r="H103" s="8" t="inlineStr"/>
      <c r="I103" s="8" t="inlineStr">
        <is>
          <t>High Band</t>
        </is>
      </c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</row>
    <row r="104">
      <c r="A104" s="2" t="n">
        <v>103</v>
      </c>
      <c r="B104" s="2" t="inlineStr">
        <is>
          <t>K9198327</t>
        </is>
      </c>
      <c r="C104" s="2" t="inlineStr">
        <is>
          <t>11GHz WTM 4200 Low band</t>
        </is>
      </c>
      <c r="D104" s="2" t="inlineStr">
        <is>
          <t>IDU+ODU 통합형(일체형) Dual Tranceiver (2*RF) All Outdoor System, 11G Low Band</t>
        </is>
      </c>
      <c r="E104" s="8" t="inlineStr">
        <is>
          <t>WTM</t>
        </is>
      </c>
      <c r="F104" s="8" t="inlineStr">
        <is>
          <t>WTM4200</t>
        </is>
      </c>
      <c r="G104" s="8" t="inlineStr">
        <is>
          <t>11GHz</t>
        </is>
      </c>
      <c r="H104" s="8" t="inlineStr"/>
      <c r="I104" s="8" t="inlineStr">
        <is>
          <t>Low Band</t>
        </is>
      </c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</row>
    <row r="105">
      <c r="A105" s="2" t="n">
        <v>104</v>
      </c>
      <c r="B105" s="2" t="inlineStr">
        <is>
          <t>K9198328</t>
        </is>
      </c>
      <c r="C105" s="2" t="inlineStr">
        <is>
          <t>Gigabit Ethernet SFP_Industrial_-40~+85℃_실외형</t>
        </is>
      </c>
      <c r="D105" s="2" t="inlineStr">
        <is>
          <t>옥외 Outdoor용 Optic Gbit Module</t>
        </is>
      </c>
      <c r="E105" s="8" t="inlineStr">
        <is>
          <t>ODU/RFU</t>
        </is>
      </c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>
        <is>
          <t>GbE</t>
        </is>
      </c>
      <c r="Q105" s="8" t="inlineStr"/>
      <c r="R105" s="8" t="inlineStr"/>
      <c r="S105" s="8" t="inlineStr"/>
      <c r="T105" s="8" t="inlineStr"/>
      <c r="U105" s="8" t="inlineStr"/>
    </row>
    <row r="106">
      <c r="A106" s="2" t="n">
        <v>105</v>
      </c>
      <c r="B106" s="2" t="inlineStr">
        <is>
          <t>K9198330</t>
        </is>
      </c>
      <c r="C106" s="2" t="inlineStr">
        <is>
          <t>Remote Mount Bracket Assembly for ODU600v2</t>
        </is>
      </c>
      <c r="D106" s="2" t="inlineStr">
        <is>
          <t>신형 ODU 철탑 고정용 KIT</t>
        </is>
      </c>
      <c r="E106" s="8" t="inlineStr">
        <is>
          <t>Mount/Bracket</t>
        </is>
      </c>
      <c r="F106" s="8" t="inlineStr">
        <is>
          <t>ODU600</t>
        </is>
      </c>
      <c r="G106" s="8" t="inlineStr"/>
      <c r="H106" s="8" t="inlineStr"/>
      <c r="I106" s="8" t="inlineStr"/>
      <c r="J106" s="8" t="inlineStr">
        <is>
          <t>신형(v2)</t>
        </is>
      </c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</row>
    <row r="107">
      <c r="A107" s="2" t="n">
        <v>106</v>
      </c>
      <c r="B107" s="2" t="inlineStr">
        <is>
          <t>K9198331</t>
        </is>
      </c>
      <c r="C107" s="2" t="inlineStr">
        <is>
          <t>GROUNDING KIT for WTM 4200, 3M</t>
        </is>
      </c>
      <c r="D107" s="2" t="inlineStr">
        <is>
          <t>철탑 접지용 Ground Cable</t>
        </is>
      </c>
      <c r="E107" s="8" t="inlineStr">
        <is>
          <t>Surge/Grounding</t>
        </is>
      </c>
      <c r="F107" s="8" t="inlineStr">
        <is>
          <t>WTM4200</t>
        </is>
      </c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>
        <is>
          <t>3m</t>
        </is>
      </c>
      <c r="R107" s="8" t="inlineStr"/>
      <c r="S107" s="8" t="inlineStr"/>
      <c r="T107" s="8" t="inlineStr"/>
      <c r="U107" s="8" t="inlineStr"/>
    </row>
    <row r="108">
      <c r="A108" s="2" t="n">
        <v>107</v>
      </c>
      <c r="B108" s="2" t="inlineStr">
        <is>
          <t>K9198336</t>
        </is>
      </c>
      <c r="C108" s="2" t="inlineStr">
        <is>
          <t>11GHz WTM 4200 High band</t>
        </is>
      </c>
      <c r="D108" s="2" t="inlineStr">
        <is>
          <t>IDU+ODU 통합형(일체형) Dual Tranceiver (2*RF) All Outdoor System, 11G High Band</t>
        </is>
      </c>
      <c r="E108" s="8" t="inlineStr">
        <is>
          <t>WTM</t>
        </is>
      </c>
      <c r="F108" s="8" t="inlineStr">
        <is>
          <t>WTM4200</t>
        </is>
      </c>
      <c r="G108" s="8" t="inlineStr">
        <is>
          <t>11GHz</t>
        </is>
      </c>
      <c r="H108" s="8" t="inlineStr"/>
      <c r="I108" s="8" t="inlineStr">
        <is>
          <t>High Band</t>
        </is>
      </c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</row>
    <row r="109">
      <c r="A109" s="2" t="n">
        <v>108</v>
      </c>
      <c r="B109" s="2" t="inlineStr">
        <is>
          <t>K9198337</t>
        </is>
      </c>
      <c r="C109" s="2" t="inlineStr">
        <is>
          <t>8G용 Coupler KIT for ODU 600v2</t>
        </is>
      </c>
      <c r="D109" s="2" t="inlineStr">
        <is>
          <t>신형 8G 커플러</t>
        </is>
      </c>
      <c r="E109" s="8" t="inlineStr">
        <is>
          <t>Coupler/Hybrid</t>
        </is>
      </c>
      <c r="F109" s="8" t="inlineStr">
        <is>
          <t>ODU600</t>
        </is>
      </c>
      <c r="G109" s="8" t="inlineStr">
        <is>
          <t>8GHz</t>
        </is>
      </c>
      <c r="H109" s="8" t="inlineStr"/>
      <c r="I109" s="8" t="inlineStr"/>
      <c r="J109" s="8" t="inlineStr">
        <is>
          <t>신형(v2)</t>
        </is>
      </c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</row>
    <row r="110">
      <c r="A110" s="2" t="n">
        <v>109</v>
      </c>
      <c r="B110" s="2" t="inlineStr">
        <is>
          <t>K9198338</t>
        </is>
      </c>
      <c r="C110" s="2" t="inlineStr">
        <is>
          <t>11G용 Coupler KIT for ODU 600v2</t>
        </is>
      </c>
      <c r="D110" s="2" t="inlineStr">
        <is>
          <t>신형 11G 커플러</t>
        </is>
      </c>
      <c r="E110" s="8" t="inlineStr">
        <is>
          <t>Coupler/Hybrid</t>
        </is>
      </c>
      <c r="F110" s="8" t="inlineStr">
        <is>
          <t>ODU600</t>
        </is>
      </c>
      <c r="G110" s="8" t="inlineStr">
        <is>
          <t>11GHz</t>
        </is>
      </c>
      <c r="H110" s="8" t="inlineStr"/>
      <c r="I110" s="8" t="inlineStr"/>
      <c r="J110" s="8" t="inlineStr">
        <is>
          <t>신형(v2)</t>
        </is>
      </c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</row>
    <row r="111">
      <c r="A111" s="2" t="n">
        <v>110</v>
      </c>
      <c r="B111" s="2" t="inlineStr">
        <is>
          <t>K9198339</t>
        </is>
      </c>
      <c r="C111" s="2" t="inlineStr">
        <is>
          <t>Remote Mount Bracket Assembly for WTM4200</t>
        </is>
      </c>
      <c r="D111" s="2" t="inlineStr">
        <is>
          <t>신형 WTM 4000 철탑 고정용 KIT</t>
        </is>
      </c>
      <c r="E111" s="8" t="inlineStr">
        <is>
          <t>Mount/Bracket</t>
        </is>
      </c>
      <c r="F111" s="8" t="inlineStr">
        <is>
          <t>WTM4200</t>
        </is>
      </c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</row>
    <row r="112">
      <c r="A112" s="2" t="n">
        <v>111</v>
      </c>
      <c r="B112" s="2" t="inlineStr">
        <is>
          <t>K9198340</t>
        </is>
      </c>
      <c r="C112" s="2" t="inlineStr">
        <is>
          <t>WTM 4200 ODU600v2 8 GHz Waveguide Transition Kit</t>
        </is>
      </c>
      <c r="D112" s="2" t="inlineStr">
        <is>
          <t>후렉시블 연결용 아답터</t>
        </is>
      </c>
      <c r="E112" s="8" t="inlineStr">
        <is>
          <t>Waveguide</t>
        </is>
      </c>
      <c r="F112" s="8" t="inlineStr">
        <is>
          <t>WTM4200</t>
        </is>
      </c>
      <c r="G112" s="8" t="inlineStr">
        <is>
          <t>8GHz</t>
        </is>
      </c>
      <c r="H112" s="8" t="inlineStr"/>
      <c r="I112" s="8" t="inlineStr"/>
      <c r="J112" s="8" t="inlineStr">
        <is>
          <t>신형(v2)</t>
        </is>
      </c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</row>
    <row r="113">
      <c r="A113" s="2" t="n">
        <v>112</v>
      </c>
      <c r="B113" s="2" t="inlineStr">
        <is>
          <t>K9198341</t>
        </is>
      </c>
      <c r="C113" s="2" t="inlineStr">
        <is>
          <t>WTM 4200 ODU600v2 11 GHz Waveguide Transition Kit</t>
        </is>
      </c>
      <c r="D113" s="2" t="inlineStr">
        <is>
          <t>후렉시블 연결용 아답터</t>
        </is>
      </c>
      <c r="E113" s="8" t="inlineStr">
        <is>
          <t>Waveguide</t>
        </is>
      </c>
      <c r="F113" s="8" t="inlineStr">
        <is>
          <t>WTM4200</t>
        </is>
      </c>
      <c r="G113" s="8" t="inlineStr">
        <is>
          <t>11GHz</t>
        </is>
      </c>
      <c r="H113" s="8" t="inlineStr"/>
      <c r="I113" s="8" t="inlineStr"/>
      <c r="J113" s="8" t="inlineStr">
        <is>
          <t>신형(v2)</t>
        </is>
      </c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</row>
    <row r="114">
      <c r="A114" s="2" t="n">
        <v>113</v>
      </c>
      <c r="B114" s="2" t="inlineStr">
        <is>
          <t>K9198342</t>
        </is>
      </c>
      <c r="C114" s="2" t="inlineStr">
        <is>
          <t>WTM4200 PWR CABLE 100M</t>
        </is>
      </c>
      <c r="D114" s="2" t="inlineStr">
        <is>
          <t>전원 케이블</t>
        </is>
      </c>
      <c r="E114" s="8" t="inlineStr">
        <is>
          <t>WTM</t>
        </is>
      </c>
      <c r="F114" s="8" t="inlineStr">
        <is>
          <t>WTM4200</t>
        </is>
      </c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>
        <is>
          <t>100m</t>
        </is>
      </c>
      <c r="R114" s="8" t="inlineStr"/>
      <c r="S114" s="8" t="inlineStr"/>
      <c r="T114" s="8" t="inlineStr"/>
      <c r="U114" s="8" t="inlineStr"/>
    </row>
    <row r="115">
      <c r="A115" s="2" t="n">
        <v>114</v>
      </c>
      <c r="B115" s="2" t="inlineStr">
        <is>
          <t>K9198343</t>
        </is>
      </c>
      <c r="C115" s="2" t="inlineStr">
        <is>
          <t>WTM4200 CABLE GLAND</t>
        </is>
      </c>
      <c r="D115" s="2" t="inlineStr">
        <is>
          <t>외부 신호 연결용 방수처리 방말형 접속 Cover</t>
        </is>
      </c>
      <c r="E115" s="8" t="inlineStr">
        <is>
          <t>WTM</t>
        </is>
      </c>
      <c r="F115" s="8" t="inlineStr">
        <is>
          <t>WTM4200</t>
        </is>
      </c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</row>
    <row r="116">
      <c r="A116" s="2" t="n">
        <v>115</v>
      </c>
      <c r="B116" s="2" t="inlineStr">
        <is>
          <t>K9198344</t>
        </is>
      </c>
      <c r="C116" s="2" t="inlineStr">
        <is>
          <t>POE INJECTOR, 112W 40 to 72VDC</t>
        </is>
      </c>
      <c r="D116" s="2" t="inlineStr">
        <is>
          <t>전원 및 데이터 연결용 PoE Injector(입력전원 DC)</t>
        </is>
      </c>
      <c r="E116" s="8" t="inlineStr">
        <is>
          <t>PDP/Power</t>
        </is>
      </c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</row>
    <row r="117">
      <c r="A117" s="2" t="n">
        <v>116</v>
      </c>
      <c r="B117" s="2" t="inlineStr">
        <is>
          <t>K9198345</t>
        </is>
      </c>
      <c r="C117" s="2" t="inlineStr">
        <is>
          <t>Surge protector for WTM 4200</t>
        </is>
      </c>
      <c r="D117" s="2" t="inlineStr">
        <is>
          <t>낙뢰 보호기</t>
        </is>
      </c>
      <c r="E117" s="8" t="inlineStr">
        <is>
          <t>Surge/Grounding</t>
        </is>
      </c>
      <c r="F117" s="8" t="inlineStr">
        <is>
          <t>WTM4200</t>
        </is>
      </c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</row>
    <row r="118">
      <c r="A118" s="2" t="n">
        <v>117</v>
      </c>
      <c r="B118" s="2" t="inlineStr">
        <is>
          <t>K9198346</t>
        </is>
      </c>
      <c r="C118" s="2" t="inlineStr">
        <is>
          <t>WTM 4200 XPIC OUTDOOR CABLE ASSEMBLY TNC PLUG TO TNC PLUG, 1.5M</t>
        </is>
      </c>
      <c r="D118" s="2" t="inlineStr">
        <is>
          <t>XPIC 구성 케이블</t>
        </is>
      </c>
      <c r="E118" s="8" t="inlineStr">
        <is>
          <t>WTM</t>
        </is>
      </c>
      <c r="F118" s="8" t="inlineStr">
        <is>
          <t>WTM4200</t>
        </is>
      </c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>
        <is>
          <t>1.5m</t>
        </is>
      </c>
      <c r="R118" s="8" t="inlineStr"/>
      <c r="S118" s="8" t="inlineStr"/>
      <c r="T118" s="8" t="inlineStr"/>
      <c r="U118" s="8" t="inlineStr"/>
    </row>
    <row r="119">
      <c r="A119" s="2" t="n">
        <v>118</v>
      </c>
      <c r="B119" s="2" t="inlineStr">
        <is>
          <t>K9198347</t>
        </is>
      </c>
      <c r="C119" s="2" t="inlineStr">
        <is>
          <t>10Gigabit Ethernet SFP_Industrial_-40~+85℃_실외형</t>
        </is>
      </c>
      <c r="D119" s="2" t="inlineStr">
        <is>
          <t>옥외 Outdoor용 Optic Gbit Module</t>
        </is>
      </c>
      <c r="E119" s="8" t="inlineStr">
        <is>
          <t>ODU/RFU</t>
        </is>
      </c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>
        <is>
          <t>10GbE</t>
        </is>
      </c>
      <c r="Q119" s="8" t="inlineStr"/>
      <c r="R119" s="8" t="inlineStr"/>
      <c r="S119" s="8" t="inlineStr"/>
      <c r="T119" s="8" t="inlineStr"/>
      <c r="U119" s="8" t="inlineStr"/>
    </row>
    <row r="120">
      <c r="A120" s="2" t="n">
        <v>119</v>
      </c>
      <c r="B120" s="2" t="inlineStr">
        <is>
          <t>K9198348</t>
        </is>
      </c>
      <c r="C120" s="2" t="inlineStr">
        <is>
          <t>Multi-cable(Fiber 1 PWR 1) for WTM 4200, 50M</t>
        </is>
      </c>
      <c r="D120" s="2" t="inlineStr">
        <is>
          <t>멀티 케이블(Fiber 1 PWR 1) 50M</t>
        </is>
      </c>
      <c r="E120" s="8" t="inlineStr">
        <is>
          <t>WTM</t>
        </is>
      </c>
      <c r="F120" s="8" t="inlineStr">
        <is>
          <t>WTM4200</t>
        </is>
      </c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>
        <is>
          <t>50m</t>
        </is>
      </c>
      <c r="R120" s="8" t="inlineStr"/>
      <c r="S120" s="8" t="inlineStr"/>
      <c r="T120" s="8" t="inlineStr"/>
      <c r="U120" s="8" t="inlineStr"/>
    </row>
    <row r="121">
      <c r="A121" s="2" t="n">
        <v>120</v>
      </c>
      <c r="B121" s="2" t="inlineStr">
        <is>
          <t>K9198349</t>
        </is>
      </c>
      <c r="C121" s="2" t="inlineStr">
        <is>
          <t>Multi-cable(Fiber 1 PWR 1) for WTM 4200, 100M</t>
        </is>
      </c>
      <c r="D121" s="2" t="inlineStr">
        <is>
          <t>멀티 케이블(Fiber 1 PWR 1) 100M</t>
        </is>
      </c>
      <c r="E121" s="8" t="inlineStr">
        <is>
          <t>WTM</t>
        </is>
      </c>
      <c r="F121" s="8" t="inlineStr">
        <is>
          <t>WTM4200</t>
        </is>
      </c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>
        <is>
          <t>100m</t>
        </is>
      </c>
      <c r="R121" s="8" t="inlineStr"/>
      <c r="S121" s="8" t="inlineStr"/>
      <c r="T121" s="8" t="inlineStr"/>
      <c r="U121" s="8" t="inlineStr"/>
    </row>
    <row r="122">
      <c r="A122" s="2" t="n">
        <v>121</v>
      </c>
      <c r="B122" s="2" t="inlineStr">
        <is>
          <t>K9204012</t>
        </is>
      </c>
      <c r="C122" s="2" t="inlineStr">
        <is>
          <t>HAX_WTM4500XT 8GHz</t>
        </is>
      </c>
      <c r="D122" s="2" t="inlineStr">
        <is>
          <t>8G 옥외 설치용 무선 송수신부 (2T2R)</t>
        </is>
      </c>
      <c r="E122" s="8" t="inlineStr">
        <is>
          <t>WTM</t>
        </is>
      </c>
      <c r="F122" s="8" t="inlineStr">
        <is>
          <t>WTM4500XT</t>
        </is>
      </c>
      <c r="G122" s="8" t="inlineStr">
        <is>
          <t>8GHz</t>
        </is>
      </c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</row>
    <row r="123">
      <c r="A123" s="2" t="n">
        <v>122</v>
      </c>
      <c r="B123" s="2" t="inlineStr">
        <is>
          <t>K9204013</t>
        </is>
      </c>
      <c r="C123" s="2" t="inlineStr">
        <is>
          <t>HAX_WTM4500XT 11GHz</t>
        </is>
      </c>
      <c r="D123" s="2" t="inlineStr">
        <is>
          <t>11G 옥외 설치용 무선 송수신부 (2T2R)</t>
        </is>
      </c>
      <c r="E123" s="8" t="inlineStr">
        <is>
          <t>WTM</t>
        </is>
      </c>
      <c r="F123" s="8" t="inlineStr">
        <is>
          <t>WTM4500XT</t>
        </is>
      </c>
      <c r="G123" s="8" t="inlineStr">
        <is>
          <t>11GHz</t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</row>
    <row r="124">
      <c r="A124" s="2" t="n">
        <v>123</v>
      </c>
      <c r="B124" s="2" t="inlineStr">
        <is>
          <t>K9204014</t>
        </is>
      </c>
      <c r="C124" s="2" t="inlineStr">
        <is>
          <t>HAX_8GHz WBX 4 CHNNEL</t>
        </is>
      </c>
      <c r="D124" s="2" t="inlineStr">
        <is>
          <t>옥외형 8G 4+0 결합 브랜칭 유니트</t>
        </is>
      </c>
      <c r="E124" s="8" t="inlineStr">
        <is>
          <t>WBX</t>
        </is>
      </c>
      <c r="F124" s="8" t="inlineStr"/>
      <c r="G124" s="8" t="inlineStr">
        <is>
          <t>8GHz</t>
        </is>
      </c>
      <c r="H124" s="8" t="inlineStr"/>
      <c r="I124" s="8" t="inlineStr"/>
      <c r="J124" s="8" t="inlineStr"/>
      <c r="K124" s="8" t="inlineStr">
        <is>
          <t>4채널</t>
        </is>
      </c>
      <c r="L124" s="8" t="inlineStr">
        <is>
          <t>4+0</t>
        </is>
      </c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</row>
    <row r="125">
      <c r="A125" s="2" t="n">
        <v>124</v>
      </c>
      <c r="B125" s="2" t="inlineStr">
        <is>
          <t>K9204015</t>
        </is>
      </c>
      <c r="C125" s="2" t="inlineStr">
        <is>
          <t>HAX_8GHz WBX 4 CHNNEL SD OPTION</t>
        </is>
      </c>
      <c r="D125" s="2" t="inlineStr">
        <is>
          <t>SD 기능 선택</t>
        </is>
      </c>
      <c r="E125" s="8" t="inlineStr">
        <is>
          <t>WBX</t>
        </is>
      </c>
      <c r="F125" s="8" t="inlineStr"/>
      <c r="G125" s="8" t="inlineStr">
        <is>
          <t>8GHz</t>
        </is>
      </c>
      <c r="H125" s="8" t="inlineStr"/>
      <c r="I125" s="8" t="inlineStr"/>
      <c r="J125" s="8" t="inlineStr"/>
      <c r="K125" s="8" t="inlineStr">
        <is>
          <t>4채널</t>
        </is>
      </c>
      <c r="L125" s="8" t="inlineStr"/>
      <c r="M125" s="8" t="inlineStr">
        <is>
          <t>Y</t>
        </is>
      </c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</row>
    <row r="126">
      <c r="A126" s="2" t="n">
        <v>125</v>
      </c>
      <c r="B126" s="2" t="inlineStr">
        <is>
          <t>K9204016</t>
        </is>
      </c>
      <c r="C126" s="2" t="inlineStr">
        <is>
          <t>HAX_8GHz WBX 8 CHNNEL</t>
        </is>
      </c>
      <c r="D126" s="2" t="inlineStr">
        <is>
          <t>옥외형 8G 8+0 결합 브랜칭 유니트</t>
        </is>
      </c>
      <c r="E126" s="8" t="inlineStr">
        <is>
          <t>WBX</t>
        </is>
      </c>
      <c r="F126" s="8" t="inlineStr"/>
      <c r="G126" s="8" t="inlineStr">
        <is>
          <t>8GHz</t>
        </is>
      </c>
      <c r="H126" s="8" t="inlineStr"/>
      <c r="I126" s="8" t="inlineStr"/>
      <c r="J126" s="8" t="inlineStr"/>
      <c r="K126" s="8" t="inlineStr">
        <is>
          <t>8채널</t>
        </is>
      </c>
      <c r="L126" s="8" t="inlineStr">
        <is>
          <t>8+0</t>
        </is>
      </c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</row>
    <row r="127">
      <c r="A127" s="2" t="n">
        <v>126</v>
      </c>
      <c r="B127" s="2" t="inlineStr">
        <is>
          <t>K9204017</t>
        </is>
      </c>
      <c r="C127" s="2" t="inlineStr">
        <is>
          <t>HAX_8GHz WBX 8 CHNNEL SD OPTION</t>
        </is>
      </c>
      <c r="D127" s="2" t="inlineStr">
        <is>
          <t>SD 기능 선택</t>
        </is>
      </c>
      <c r="E127" s="8" t="inlineStr">
        <is>
          <t>WBX</t>
        </is>
      </c>
      <c r="F127" s="8" t="inlineStr"/>
      <c r="G127" s="8" t="inlineStr">
        <is>
          <t>8GHz</t>
        </is>
      </c>
      <c r="H127" s="8" t="inlineStr"/>
      <c r="I127" s="8" t="inlineStr"/>
      <c r="J127" s="8" t="inlineStr"/>
      <c r="K127" s="8" t="inlineStr">
        <is>
          <t>8채널</t>
        </is>
      </c>
      <c r="L127" s="8" t="inlineStr"/>
      <c r="M127" s="8" t="inlineStr">
        <is>
          <t>Y</t>
        </is>
      </c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</row>
    <row r="128">
      <c r="A128" s="2" t="n">
        <v>127</v>
      </c>
      <c r="B128" s="2" t="inlineStr">
        <is>
          <t>K9204018</t>
        </is>
      </c>
      <c r="C128" s="2" t="inlineStr">
        <is>
          <t>HAX_11GHz WBX 4 CHNNEL</t>
        </is>
      </c>
      <c r="D128" s="2" t="inlineStr">
        <is>
          <t>옥외형 11G 4+0 결합 브랜칭 유니트</t>
        </is>
      </c>
      <c r="E128" s="8" t="inlineStr">
        <is>
          <t>WBX</t>
        </is>
      </c>
      <c r="F128" s="8" t="inlineStr"/>
      <c r="G128" s="8" t="inlineStr">
        <is>
          <t>11GHz</t>
        </is>
      </c>
      <c r="H128" s="8" t="inlineStr"/>
      <c r="I128" s="8" t="inlineStr"/>
      <c r="J128" s="8" t="inlineStr"/>
      <c r="K128" s="8" t="inlineStr">
        <is>
          <t>4채널</t>
        </is>
      </c>
      <c r="L128" s="8" t="inlineStr">
        <is>
          <t>4+0</t>
        </is>
      </c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</row>
    <row r="129">
      <c r="A129" s="2" t="n">
        <v>128</v>
      </c>
      <c r="B129" s="2" t="inlineStr">
        <is>
          <t>K9204019</t>
        </is>
      </c>
      <c r="C129" s="2" t="inlineStr">
        <is>
          <t>HAX_11GHz WBX 4 CHNNEL SD OPTION</t>
        </is>
      </c>
      <c r="D129" s="2" t="inlineStr">
        <is>
          <t>SD 기능 선택</t>
        </is>
      </c>
      <c r="E129" s="8" t="inlineStr">
        <is>
          <t>WBX</t>
        </is>
      </c>
      <c r="F129" s="8" t="inlineStr"/>
      <c r="G129" s="8" t="inlineStr">
        <is>
          <t>11GHz</t>
        </is>
      </c>
      <c r="H129" s="8" t="inlineStr"/>
      <c r="I129" s="8" t="inlineStr"/>
      <c r="J129" s="8" t="inlineStr"/>
      <c r="K129" s="8" t="inlineStr">
        <is>
          <t>4채널</t>
        </is>
      </c>
      <c r="L129" s="8" t="inlineStr"/>
      <c r="M129" s="8" t="inlineStr">
        <is>
          <t>Y</t>
        </is>
      </c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</row>
    <row r="130">
      <c r="A130" s="2" t="n">
        <v>129</v>
      </c>
      <c r="B130" s="2" t="inlineStr">
        <is>
          <t>K9204020</t>
        </is>
      </c>
      <c r="C130" s="2" t="inlineStr">
        <is>
          <t>HAX_11GHz WBX 8 CHNNEL</t>
        </is>
      </c>
      <c r="D130" s="2" t="inlineStr">
        <is>
          <t>옥외형 11G 8+0 결합 브랜칭 유니트</t>
        </is>
      </c>
      <c r="E130" s="8" t="inlineStr">
        <is>
          <t>WBX</t>
        </is>
      </c>
      <c r="F130" s="8" t="inlineStr"/>
      <c r="G130" s="8" t="inlineStr">
        <is>
          <t>11GHz</t>
        </is>
      </c>
      <c r="H130" s="8" t="inlineStr"/>
      <c r="I130" s="8" t="inlineStr"/>
      <c r="J130" s="8" t="inlineStr"/>
      <c r="K130" s="8" t="inlineStr">
        <is>
          <t>8채널</t>
        </is>
      </c>
      <c r="L130" s="8" t="inlineStr">
        <is>
          <t>8+0</t>
        </is>
      </c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</row>
    <row r="131">
      <c r="A131" s="2" t="n">
        <v>130</v>
      </c>
      <c r="B131" s="2" t="inlineStr">
        <is>
          <t>K9204021</t>
        </is>
      </c>
      <c r="C131" s="2" t="inlineStr">
        <is>
          <t>HAX_11GHz WBX 8 CHNNEL SD OPTION</t>
        </is>
      </c>
      <c r="D131" s="2" t="inlineStr">
        <is>
          <t>SD 기능 선택</t>
        </is>
      </c>
      <c r="E131" s="8" t="inlineStr">
        <is>
          <t>WBX</t>
        </is>
      </c>
      <c r="F131" s="8" t="inlineStr"/>
      <c r="G131" s="8" t="inlineStr">
        <is>
          <t>11GHz</t>
        </is>
      </c>
      <c r="H131" s="8" t="inlineStr"/>
      <c r="I131" s="8" t="inlineStr"/>
      <c r="J131" s="8" t="inlineStr"/>
      <c r="K131" s="8" t="inlineStr">
        <is>
          <t>8채널</t>
        </is>
      </c>
      <c r="L131" s="8" t="inlineStr"/>
      <c r="M131" s="8" t="inlineStr">
        <is>
          <t>Y</t>
        </is>
      </c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</row>
    <row r="132">
      <c r="A132" s="2" t="n">
        <v>131</v>
      </c>
      <c r="B132" s="2" t="inlineStr">
        <is>
          <t>K9204022</t>
        </is>
      </c>
      <c r="C132" s="2" t="inlineStr">
        <is>
          <t>HAX_CTR8740 1RU CHSSIS</t>
        </is>
      </c>
      <c r="D132" s="2" t="inlineStr">
        <is>
          <t>인터페이스 정합 IDU</t>
        </is>
      </c>
      <c r="E132" s="8" t="inlineStr">
        <is>
          <t>IDU/Chassis</t>
        </is>
      </c>
      <c r="F132" s="8" t="inlineStr">
        <is>
          <t>CTR8740</t>
        </is>
      </c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>
        <is>
          <t>1RU</t>
        </is>
      </c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</row>
    <row r="133">
      <c r="A133" s="2" t="n">
        <v>132</v>
      </c>
      <c r="B133" s="2" t="inlineStr">
        <is>
          <t>K9204023</t>
        </is>
      </c>
      <c r="C133" s="2" t="inlineStr">
        <is>
          <t>HAX_CTR8740 DUAL POWER SUPPLY</t>
        </is>
      </c>
      <c r="D133" s="2" t="inlineStr">
        <is>
          <t>듀얼 전원 모듈</t>
        </is>
      </c>
      <c r="E133" s="8" t="inlineStr">
        <is>
          <t>PDP/Power</t>
        </is>
      </c>
      <c r="F133" s="8" t="inlineStr">
        <is>
          <t>CTR8740</t>
        </is>
      </c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>
        <is>
          <t>이중편파(Dual-Pol)</t>
        </is>
      </c>
      <c r="U133" s="8" t="inlineStr"/>
    </row>
    <row r="134">
      <c r="A134" s="2" t="n">
        <v>133</v>
      </c>
      <c r="B134" s="2" t="inlineStr">
        <is>
          <t>K9204024</t>
        </is>
      </c>
      <c r="C134" s="2" t="inlineStr">
        <is>
          <t>HAX_CABLE CAT5E OUTDOOR RJ-45 2M</t>
        </is>
      </c>
      <c r="D134" s="2" t="inlineStr">
        <is>
          <t>실외형 CAT 5E 케이블, 2M</t>
        </is>
      </c>
      <c r="E134" s="8" t="inlineStr">
        <is>
          <t>Cable</t>
        </is>
      </c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>
        <is>
          <t>2m</t>
        </is>
      </c>
      <c r="R134" s="8" t="inlineStr"/>
      <c r="S134" s="8" t="inlineStr"/>
      <c r="T134" s="8" t="inlineStr"/>
      <c r="U134" s="8" t="inlineStr"/>
    </row>
    <row r="135">
      <c r="A135" s="2" t="n">
        <v>134</v>
      </c>
      <c r="B135" s="2" t="inlineStr">
        <is>
          <t>K9204025</t>
        </is>
      </c>
      <c r="C135" s="2" t="inlineStr">
        <is>
          <t>HAX_CABLE CLAMP 8HOLE 5-7.5MM</t>
        </is>
      </c>
      <c r="D135" s="2" t="inlineStr">
        <is>
          <t>실외형 케이블 마운팅 KIT</t>
        </is>
      </c>
      <c r="E135" s="8" t="inlineStr">
        <is>
          <t>Mount/Bracket</t>
        </is>
      </c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>
        <is>
          <t>7.5mm</t>
        </is>
      </c>
      <c r="R135" s="8" t="inlineStr"/>
      <c r="S135" s="8" t="inlineStr"/>
      <c r="T135" s="8" t="inlineStr"/>
      <c r="U135" s="8" t="inlineStr"/>
    </row>
    <row r="136">
      <c r="A136" s="2" t="n">
        <v>135</v>
      </c>
      <c r="B136" s="2" t="inlineStr">
        <is>
          <t>K9204026</t>
        </is>
      </c>
      <c r="C136" s="2" t="inlineStr">
        <is>
          <t>HAX_WEATHERPROOFING KIT</t>
        </is>
      </c>
      <c r="D136" s="2" t="inlineStr">
        <is>
          <t>실외형 방수 자재 KIT</t>
        </is>
      </c>
      <c r="E136" s="8" t="inlineStr">
        <is>
          <t>기타</t>
        </is>
      </c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</row>
    <row r="137">
      <c r="A137" s="2" t="n">
        <v>136</v>
      </c>
      <c r="B137" s="2" t="inlineStr">
        <is>
          <t>K9204027</t>
        </is>
      </c>
      <c r="C137" s="2" t="inlineStr">
        <is>
          <t>HAX_MULTI POWER CABLE 100M</t>
        </is>
      </c>
      <c r="D137" s="2" t="inlineStr">
        <is>
          <t>실외형 멀티 전원 케이블 KIT</t>
        </is>
      </c>
      <c r="E137" s="8" t="inlineStr">
        <is>
          <t>Cable</t>
        </is>
      </c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>
        <is>
          <t>100m</t>
        </is>
      </c>
      <c r="R137" s="8" t="inlineStr"/>
      <c r="S137" s="8" t="inlineStr"/>
      <c r="T137" s="8" t="inlineStr"/>
      <c r="U137" s="8" t="inlineStr"/>
    </row>
    <row r="138">
      <c r="A138" s="2" t="n">
        <v>137</v>
      </c>
      <c r="B138" s="2" t="inlineStr">
        <is>
          <t>K9204028</t>
        </is>
      </c>
      <c r="C138" s="2" t="inlineStr">
        <is>
          <t>HAX_MULTI-FIBER CABLE 100M</t>
        </is>
      </c>
      <c r="D138" s="2" t="inlineStr">
        <is>
          <t>실외형 멀티 광케이블 KIT</t>
        </is>
      </c>
      <c r="E138" s="8" t="inlineStr">
        <is>
          <t>Cable</t>
        </is>
      </c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>
        <is>
          <t>100m</t>
        </is>
      </c>
      <c r="R138" s="8" t="inlineStr"/>
      <c r="S138" s="8" t="inlineStr"/>
      <c r="T138" s="8" t="inlineStr"/>
      <c r="U138" s="8" t="inlineStr"/>
    </row>
    <row r="139">
      <c r="A139" s="2" t="n">
        <v>138</v>
      </c>
      <c r="B139" s="2" t="inlineStr">
        <is>
          <t>K9204029</t>
        </is>
      </c>
      <c r="C139" s="2" t="inlineStr">
        <is>
          <t>HAX_MULTI-ETHERNET CABLE 100M</t>
        </is>
      </c>
      <c r="D139" s="2" t="inlineStr">
        <is>
          <t>실외형 멀티 UTP 케이블 KIT</t>
        </is>
      </c>
      <c r="E139" s="8" t="inlineStr">
        <is>
          <t>Cable</t>
        </is>
      </c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>
        <is>
          <t>100m</t>
        </is>
      </c>
      <c r="R139" s="8" t="inlineStr"/>
      <c r="S139" s="8" t="inlineStr"/>
      <c r="T139" s="8" t="inlineStr"/>
      <c r="U139" s="8" t="inlineStr"/>
    </row>
    <row r="140">
      <c r="A140" s="2" t="n">
        <v>139</v>
      </c>
      <c r="B140" s="2" t="inlineStr">
        <is>
          <t>K9204030</t>
        </is>
      </c>
      <c r="C140" s="2" t="inlineStr">
        <is>
          <t>HAX_PROTECTOR MODULE</t>
        </is>
      </c>
      <c r="D140" s="2" t="inlineStr">
        <is>
          <t>낙뢰 보호 모듈</t>
        </is>
      </c>
      <c r="E140" s="8" t="inlineStr">
        <is>
          <t>Surge/Grounding</t>
        </is>
      </c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</row>
    <row r="141">
      <c r="A141" s="2" t="n">
        <v>140</v>
      </c>
      <c r="B141" s="2" t="inlineStr">
        <is>
          <t>K9204031</t>
        </is>
      </c>
      <c r="C141" s="2" t="inlineStr">
        <is>
          <t>HAX_PROTECTOR MODULE BRACKET</t>
        </is>
      </c>
      <c r="D141" s="2" t="inlineStr">
        <is>
          <t>낙뢰 보호 모듈 마운팅 KIT</t>
        </is>
      </c>
      <c r="E141" s="8" t="inlineStr">
        <is>
          <t>Mount/Bracket</t>
        </is>
      </c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/>
      <c r="U141" s="8" t="inlineStr"/>
    </row>
    <row r="142">
      <c r="A142" s="2" t="n">
        <v>141</v>
      </c>
      <c r="B142" s="2" t="inlineStr">
        <is>
          <t>K9204032</t>
        </is>
      </c>
      <c r="C142" s="2" t="inlineStr">
        <is>
          <t>HAX_GROUND CONDUCTOR</t>
        </is>
      </c>
      <c r="D142" s="2" t="inlineStr">
        <is>
          <t>실외형 Ground KIT</t>
        </is>
      </c>
      <c r="E142" s="8" t="inlineStr">
        <is>
          <t>Surge/Grounding</t>
        </is>
      </c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</row>
    <row r="143">
      <c r="A143" s="2" t="n">
        <v>142</v>
      </c>
      <c r="B143" s="2" t="inlineStr">
        <is>
          <t>K9204033</t>
        </is>
      </c>
      <c r="C143" s="2" t="inlineStr">
        <is>
          <t>HAX_WTM4500 NODE LICENSE</t>
        </is>
      </c>
      <c r="D143" s="2" t="inlineStr">
        <is>
          <t>WTM 4500 노드 라이선스</t>
        </is>
      </c>
      <c r="E143" s="8" t="inlineStr">
        <is>
          <t>License</t>
        </is>
      </c>
      <c r="F143" s="8" t="inlineStr">
        <is>
          <t>WTM4500</t>
        </is>
      </c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</row>
    <row r="144">
      <c r="A144" s="2" t="n">
        <v>143</v>
      </c>
      <c r="B144" s="2" t="inlineStr">
        <is>
          <t>K9204034</t>
        </is>
      </c>
      <c r="C144" s="2" t="inlineStr">
        <is>
          <t>HAX_CTR8740 NODE LICENSE</t>
        </is>
      </c>
      <c r="D144" s="2" t="inlineStr">
        <is>
          <t>CTR 8740 노드 라이선스</t>
        </is>
      </c>
      <c r="E144" s="8" t="inlineStr">
        <is>
          <t>License</t>
        </is>
      </c>
      <c r="F144" s="8" t="inlineStr">
        <is>
          <t>CTR8740</t>
        </is>
      </c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</row>
    <row r="145">
      <c r="A145" s="2" t="n">
        <v>144</v>
      </c>
      <c r="B145" s="2" t="inlineStr">
        <is>
          <t>K9204035</t>
        </is>
      </c>
      <c r="C145" s="2" t="inlineStr">
        <is>
          <t>HAX_PROVISION PLUS WTM4500</t>
        </is>
      </c>
      <c r="D145" s="2" t="inlineStr">
        <is>
          <t>WTM 4500 NETCONF 연동 라이선스</t>
        </is>
      </c>
      <c r="E145" s="8" t="inlineStr">
        <is>
          <t>License</t>
        </is>
      </c>
      <c r="F145" s="8" t="inlineStr">
        <is>
          <t>WTM4500</t>
        </is>
      </c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</row>
    <row r="146">
      <c r="A146" s="2" t="n">
        <v>145</v>
      </c>
      <c r="B146" s="2" t="inlineStr">
        <is>
          <t>K9204036</t>
        </is>
      </c>
      <c r="C146" s="2" t="inlineStr">
        <is>
          <t>HAX_PROVISION PLUS CTR8740</t>
        </is>
      </c>
      <c r="D146" s="2" t="inlineStr">
        <is>
          <t>CTR 8740 NETCONF 연동 라이선스</t>
        </is>
      </c>
      <c r="E146" s="8" t="inlineStr">
        <is>
          <t>License</t>
        </is>
      </c>
      <c r="F146" s="8" t="inlineStr">
        <is>
          <t>CTR8740</t>
        </is>
      </c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</row>
    <row r="147">
      <c r="A147" s="2" t="n">
        <v>146</v>
      </c>
      <c r="B147" s="2" t="inlineStr">
        <is>
          <t>K9208698</t>
        </is>
      </c>
      <c r="C147" s="2" t="inlineStr">
        <is>
          <t>VR4 1RU CHASSIS</t>
        </is>
      </c>
      <c r="D147" s="2" t="inlineStr">
        <is>
          <t>TDM/IP 인터페이스 정합 IDU</t>
        </is>
      </c>
      <c r="E147" s="8" t="inlineStr">
        <is>
          <t>IDU/Chassis</t>
        </is>
      </c>
      <c r="F147" s="8" t="inlineStr">
        <is>
          <t>VR4</t>
        </is>
      </c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>
        <is>
          <t>1RU</t>
        </is>
      </c>
      <c r="O147" s="8" t="inlineStr"/>
      <c r="P147" s="8" t="inlineStr"/>
      <c r="Q147" s="8" t="inlineStr"/>
      <c r="R147" s="8" t="inlineStr"/>
      <c r="S147" s="8" t="inlineStr"/>
      <c r="T147" s="8" t="inlineStr"/>
      <c r="U147" s="8" t="inlineStr"/>
    </row>
    <row r="148">
      <c r="A148" s="2" t="n">
        <v>147</v>
      </c>
      <c r="B148" s="2" t="inlineStr">
        <is>
          <t>K9208699</t>
        </is>
      </c>
      <c r="C148" s="2" t="inlineStr">
        <is>
          <t>FAN-CV</t>
        </is>
      </c>
      <c r="D148" s="2" t="inlineStr">
        <is>
          <t>VR4 전용 팬 카드</t>
        </is>
      </c>
      <c r="E148" s="8" t="inlineStr">
        <is>
          <t>Fan</t>
        </is>
      </c>
      <c r="F148" s="8" t="inlineStr">
        <is>
          <t>VR4</t>
        </is>
      </c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</row>
    <row r="149">
      <c r="A149" s="2" t="n">
        <v>148</v>
      </c>
      <c r="B149" s="2" t="inlineStr">
        <is>
          <t>K9208700</t>
        </is>
      </c>
      <c r="C149" s="2" t="inlineStr">
        <is>
          <t>VR10 3RU CHASSIS</t>
        </is>
      </c>
      <c r="D149" s="2" t="inlineStr">
        <is>
          <t>TDM/IP 인터페이스 정합 IDU</t>
        </is>
      </c>
      <c r="E149" s="8" t="inlineStr">
        <is>
          <t>IDU/Chassis</t>
        </is>
      </c>
      <c r="F149" s="8" t="inlineStr">
        <is>
          <t>VR10</t>
        </is>
      </c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>
        <is>
          <t>3RU</t>
        </is>
      </c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</row>
    <row r="150">
      <c r="A150" s="2" t="n">
        <v>149</v>
      </c>
      <c r="B150" s="2" t="inlineStr">
        <is>
          <t>K9208701</t>
        </is>
      </c>
      <c r="C150" s="2" t="inlineStr">
        <is>
          <t>VR10 MC-MV</t>
        </is>
      </c>
      <c r="D150" s="2" t="inlineStr">
        <is>
          <t>메인 카드</t>
        </is>
      </c>
      <c r="E150" s="8" t="inlineStr">
        <is>
          <t>CPU/Control</t>
        </is>
      </c>
      <c r="F150" s="8" t="inlineStr">
        <is>
          <t>VR10</t>
        </is>
      </c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</row>
    <row r="151">
      <c r="A151" s="2" t="n">
        <v>150</v>
      </c>
      <c r="B151" s="2" t="inlineStr">
        <is>
          <t>K9208702</t>
        </is>
      </c>
      <c r="C151" s="2" t="inlineStr">
        <is>
          <t>FAN-MV</t>
        </is>
      </c>
      <c r="D151" s="2" t="inlineStr">
        <is>
          <t>VR10 전용 팬 카드</t>
        </is>
      </c>
      <c r="E151" s="8" t="inlineStr">
        <is>
          <t>Fan</t>
        </is>
      </c>
      <c r="F151" s="8" t="inlineStr">
        <is>
          <t>VR10</t>
        </is>
      </c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  <c r="U151" s="8" t="inlineStr"/>
    </row>
    <row r="152">
      <c r="A152" s="2" t="n">
        <v>151</v>
      </c>
      <c r="B152" s="2" t="inlineStr">
        <is>
          <t>K9208703</t>
        </is>
      </c>
      <c r="C152" s="2" t="inlineStr">
        <is>
          <t>TERM-MV</t>
        </is>
      </c>
      <c r="D152" s="2" t="inlineStr">
        <is>
          <t>제어 및 클럭 인터페이스 카드</t>
        </is>
      </c>
      <c r="E152" s="8" t="inlineStr">
        <is>
          <t>CPU/Control</t>
        </is>
      </c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</row>
    <row r="153">
      <c r="A153" s="2" t="n">
        <v>152</v>
      </c>
      <c r="B153" s="2" t="inlineStr">
        <is>
          <t>K9208704</t>
        </is>
      </c>
      <c r="C153" s="2" t="inlineStr">
        <is>
          <t>PS-MV</t>
        </is>
      </c>
      <c r="D153" s="2" t="inlineStr">
        <is>
          <t>전원 카드</t>
        </is>
      </c>
      <c r="E153" s="8" t="inlineStr">
        <is>
          <t>PDP/Power</t>
        </is>
      </c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/>
      <c r="U153" s="8" t="inlineStr"/>
    </row>
    <row r="154">
      <c r="A154" s="2" t="n">
        <v>153</v>
      </c>
      <c r="B154" s="2" t="inlineStr">
        <is>
          <t>K9208705</t>
        </is>
      </c>
      <c r="C154" s="2" t="inlineStr">
        <is>
          <t>MODEM-AV</t>
        </is>
      </c>
      <c r="D154" s="2" t="inlineStr">
        <is>
          <t>모뎀 카드</t>
        </is>
      </c>
      <c r="E154" s="8" t="inlineStr">
        <is>
          <t>Modem</t>
        </is>
      </c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</row>
    <row r="155">
      <c r="A155" s="2" t="n">
        <v>154</v>
      </c>
      <c r="B155" s="2" t="inlineStr">
        <is>
          <t>K9208706</t>
        </is>
      </c>
      <c r="C155" s="2" t="inlineStr">
        <is>
          <t>GbE4f-AV</t>
        </is>
      </c>
      <c r="D155" s="2" t="inlineStr">
        <is>
          <t>1G Optical 이더넷 카드</t>
        </is>
      </c>
      <c r="E155" s="8" t="inlineStr">
        <is>
          <t>Interface Card</t>
        </is>
      </c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>
        <is>
          <t>GbE</t>
        </is>
      </c>
      <c r="Q155" s="8" t="inlineStr"/>
      <c r="R155" s="8" t="inlineStr"/>
      <c r="S155" s="8" t="inlineStr"/>
      <c r="T155" s="8" t="inlineStr"/>
      <c r="U155" s="8" t="inlineStr"/>
    </row>
    <row r="156">
      <c r="A156" s="2" t="n">
        <v>155</v>
      </c>
      <c r="B156" s="2" t="inlineStr">
        <is>
          <t>K9208707</t>
        </is>
      </c>
      <c r="C156" s="2" t="inlineStr">
        <is>
          <t>GbE4e-AV</t>
        </is>
      </c>
      <c r="D156" s="2" t="inlineStr">
        <is>
          <t>1G Electrical 이더넷 카드</t>
        </is>
      </c>
      <c r="E156" s="8" t="inlineStr">
        <is>
          <t>Interface Card</t>
        </is>
      </c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>
        <is>
          <t>GbE</t>
        </is>
      </c>
      <c r="Q156" s="8" t="inlineStr"/>
      <c r="R156" s="8" t="inlineStr"/>
      <c r="S156" s="8" t="inlineStr"/>
      <c r="T156" s="8" t="inlineStr"/>
      <c r="U156" s="8" t="inlineStr"/>
    </row>
    <row r="157">
      <c r="A157" s="2" t="n">
        <v>156</v>
      </c>
      <c r="B157" s="2" t="inlineStr">
        <is>
          <t>K9208708</t>
        </is>
      </c>
      <c r="C157" s="2" t="inlineStr">
        <is>
          <t>XGbE-MV</t>
        </is>
      </c>
      <c r="D157" s="2" t="inlineStr">
        <is>
          <t>10G Optical 이더넷 카드</t>
        </is>
      </c>
      <c r="E157" s="8" t="inlineStr">
        <is>
          <t>Interface Card</t>
        </is>
      </c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>
        <is>
          <t>10GbE</t>
        </is>
      </c>
      <c r="Q157" s="8" t="inlineStr"/>
      <c r="R157" s="8" t="inlineStr"/>
      <c r="S157" s="8" t="inlineStr"/>
      <c r="T157" s="8" t="inlineStr"/>
      <c r="U157" s="8" t="inlineStr"/>
    </row>
    <row r="158">
      <c r="A158" s="2" t="n">
        <v>157</v>
      </c>
      <c r="B158" s="2" t="inlineStr">
        <is>
          <t>K9208709</t>
        </is>
      </c>
      <c r="C158" s="2" t="inlineStr">
        <is>
          <t>16E1-A</t>
        </is>
      </c>
      <c r="D158" s="2" t="inlineStr">
        <is>
          <t>16E1 카드</t>
        </is>
      </c>
      <c r="E158" s="8" t="inlineStr">
        <is>
          <t>Interface Card</t>
        </is>
      </c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>
        <is>
          <t>E1</t>
        </is>
      </c>
      <c r="Q158" s="8" t="inlineStr"/>
      <c r="R158" s="8" t="inlineStr"/>
      <c r="S158" s="8" t="inlineStr"/>
      <c r="T158" s="8" t="inlineStr"/>
      <c r="U158" s="8" t="inlineStr"/>
    </row>
    <row r="159">
      <c r="A159" s="2" t="n">
        <v>158</v>
      </c>
      <c r="B159" s="2" t="inlineStr">
        <is>
          <t>K9208710</t>
        </is>
      </c>
      <c r="C159" s="2" t="inlineStr">
        <is>
          <t>STM1-A</t>
        </is>
      </c>
      <c r="D159" s="2" t="inlineStr">
        <is>
          <t>STM-1 카드</t>
        </is>
      </c>
      <c r="E159" s="8" t="inlineStr">
        <is>
          <t>Interface Card</t>
        </is>
      </c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>
        <is>
          <t>STM-1</t>
        </is>
      </c>
      <c r="Q159" s="8" t="inlineStr"/>
      <c r="R159" s="8" t="inlineStr"/>
      <c r="S159" s="8" t="inlineStr"/>
      <c r="T159" s="8" t="inlineStr"/>
      <c r="U159" s="8" t="inlineStr"/>
    </row>
    <row r="160">
      <c r="A160" s="2" t="n">
        <v>159</v>
      </c>
      <c r="B160" s="2" t="inlineStr">
        <is>
          <t>K9208711</t>
        </is>
      </c>
      <c r="C160" s="2" t="inlineStr">
        <is>
          <t>MC-MV Redundancy</t>
        </is>
      </c>
      <c r="D160" s="2" t="inlineStr">
        <is>
          <t>메인 이중화 카드</t>
        </is>
      </c>
      <c r="E160" s="8" t="inlineStr">
        <is>
          <t>CPU/Control</t>
        </is>
      </c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</row>
    <row r="161">
      <c r="A161" s="2" t="n">
        <v>160</v>
      </c>
      <c r="B161" s="2" t="inlineStr">
        <is>
          <t>K9208712</t>
        </is>
      </c>
      <c r="C161" s="2" t="inlineStr">
        <is>
          <t>MSE-A</t>
        </is>
      </c>
      <c r="D161" s="2" t="inlineStr">
        <is>
          <t>TDM&lt;-&gt;IP Emulation 카드</t>
        </is>
      </c>
      <c r="E161" s="8" t="inlineStr">
        <is>
          <t>Interface Card</t>
        </is>
      </c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</row>
    <row r="162">
      <c r="A162" s="2" t="n">
        <v>161</v>
      </c>
      <c r="B162" s="2" t="inlineStr">
        <is>
          <t>K9208713</t>
        </is>
      </c>
      <c r="C162" s="2" t="inlineStr">
        <is>
          <t>AUX-A</t>
        </is>
      </c>
      <c r="D162" s="2" t="inlineStr">
        <is>
          <t>외부알람 입출력 카드</t>
        </is>
      </c>
      <c r="E162" s="8" t="inlineStr">
        <is>
          <t>CPU/Control</t>
        </is>
      </c>
      <c r="F162" s="8" t="inlineStr"/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</row>
    <row r="163">
      <c r="A163" s="2" t="n">
        <v>162</v>
      </c>
      <c r="B163" s="2" t="inlineStr">
        <is>
          <t>K9208714</t>
        </is>
      </c>
      <c r="C163" s="2" t="inlineStr">
        <is>
          <t>8GHz ODU IAP3 LOW</t>
        </is>
      </c>
      <c r="D163" s="2" t="inlineStr">
        <is>
          <t>8G 무선 모듈</t>
        </is>
      </c>
      <c r="E163" s="8" t="inlineStr">
        <is>
          <t>ODU/RFU</t>
        </is>
      </c>
      <c r="F163" s="8" t="inlineStr"/>
      <c r="G163" s="8" t="inlineStr">
        <is>
          <t>8GHz</t>
        </is>
      </c>
      <c r="H163" s="8" t="inlineStr"/>
      <c r="I163" s="8" t="inlineStr">
        <is>
          <t>Low Band</t>
        </is>
      </c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</row>
    <row r="164">
      <c r="A164" s="2" t="n">
        <v>163</v>
      </c>
      <c r="B164" s="2" t="inlineStr">
        <is>
          <t>K9208715</t>
        </is>
      </c>
      <c r="C164" s="2" t="inlineStr">
        <is>
          <t>8GHz ODU IAP3 HIGH</t>
        </is>
      </c>
      <c r="D164" s="2" t="inlineStr">
        <is>
          <t>8G 무선 모듈</t>
        </is>
      </c>
      <c r="E164" s="8" t="inlineStr">
        <is>
          <t>ODU/RFU</t>
        </is>
      </c>
      <c r="F164" s="8" t="inlineStr"/>
      <c r="G164" s="8" t="inlineStr">
        <is>
          <t>8GHz</t>
        </is>
      </c>
      <c r="H164" s="8" t="inlineStr"/>
      <c r="I164" s="8" t="inlineStr">
        <is>
          <t>High Band</t>
        </is>
      </c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</row>
    <row r="165">
      <c r="A165" s="2" t="n">
        <v>164</v>
      </c>
      <c r="B165" s="2" t="inlineStr">
        <is>
          <t>K9208716</t>
        </is>
      </c>
      <c r="C165" s="2" t="inlineStr">
        <is>
          <t>11GHz ODU IAP3 LOW</t>
        </is>
      </c>
      <c r="D165" s="2" t="inlineStr">
        <is>
          <t>11G 무선 모듈</t>
        </is>
      </c>
      <c r="E165" s="8" t="inlineStr">
        <is>
          <t>ODU/RFU</t>
        </is>
      </c>
      <c r="F165" s="8" t="inlineStr"/>
      <c r="G165" s="8" t="inlineStr">
        <is>
          <t>11GHz</t>
        </is>
      </c>
      <c r="H165" s="8" t="inlineStr"/>
      <c r="I165" s="8" t="inlineStr">
        <is>
          <t>Low Band</t>
        </is>
      </c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8" t="inlineStr"/>
      <c r="U165" s="8" t="inlineStr"/>
    </row>
    <row r="166">
      <c r="A166" s="2" t="n">
        <v>165</v>
      </c>
      <c r="B166" s="2" t="inlineStr">
        <is>
          <t>K9208717</t>
        </is>
      </c>
      <c r="C166" s="2" t="inlineStr">
        <is>
          <t>11GHz ODU IAP3 HIGH</t>
        </is>
      </c>
      <c r="D166" s="2" t="inlineStr">
        <is>
          <t>11G 무선 모듈</t>
        </is>
      </c>
      <c r="E166" s="8" t="inlineStr">
        <is>
          <t>ODU/RFU</t>
        </is>
      </c>
      <c r="F166" s="8" t="inlineStr"/>
      <c r="G166" s="8" t="inlineStr">
        <is>
          <t>11GHz</t>
        </is>
      </c>
      <c r="H166" s="8" t="inlineStr"/>
      <c r="I166" s="8" t="inlineStr">
        <is>
          <t>High Band</t>
        </is>
      </c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</row>
    <row r="167">
      <c r="A167" s="2" t="n">
        <v>166</v>
      </c>
      <c r="B167" s="2" t="inlineStr">
        <is>
          <t>K9208718</t>
        </is>
      </c>
      <c r="C167" s="2" t="inlineStr">
        <is>
          <t>8G OBC2 CORE UNIT</t>
        </is>
      </c>
      <c r="D167" s="2" t="inlineStr">
        <is>
          <t>8G 채널 결합 유니트</t>
        </is>
      </c>
      <c r="E167" s="8" t="inlineStr">
        <is>
          <t>OBC2</t>
        </is>
      </c>
      <c r="F167" s="8" t="inlineStr"/>
      <c r="G167" s="8" t="inlineStr">
        <is>
          <t>8GHz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</row>
    <row r="168">
      <c r="A168" s="2" t="n">
        <v>167</v>
      </c>
      <c r="B168" s="2" t="inlineStr">
        <is>
          <t>K9208719</t>
        </is>
      </c>
      <c r="C168" s="2" t="inlineStr">
        <is>
          <t>11G OBC2 CORE UNIT</t>
        </is>
      </c>
      <c r="D168" s="2" t="inlineStr">
        <is>
          <t>11G 채널 결합 유니트</t>
        </is>
      </c>
      <c r="E168" s="8" t="inlineStr">
        <is>
          <t>OBC2</t>
        </is>
      </c>
      <c r="F168" s="8" t="inlineStr"/>
      <c r="G168" s="8" t="inlineStr">
        <is>
          <t>11GHz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</row>
    <row r="169">
      <c r="A169" s="2" t="n">
        <v>168</v>
      </c>
      <c r="B169" s="2" t="inlineStr">
        <is>
          <t>K9208720</t>
        </is>
      </c>
      <c r="C169" s="2" t="inlineStr">
        <is>
          <t>8G DUPLEXER UNIT</t>
        </is>
      </c>
      <c r="D169" s="2" t="inlineStr">
        <is>
          <t>8G 송수신 분리/결합 유니트</t>
        </is>
      </c>
      <c r="E169" s="8" t="inlineStr">
        <is>
          <t>Duplexer</t>
        </is>
      </c>
      <c r="F169" s="8" t="inlineStr"/>
      <c r="G169" s="8" t="inlineStr">
        <is>
          <t>8GHz</t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inlineStr"/>
      <c r="U169" s="8" t="inlineStr"/>
    </row>
    <row r="170">
      <c r="A170" s="2" t="n">
        <v>169</v>
      </c>
      <c r="B170" s="2" t="inlineStr">
        <is>
          <t>K9208721</t>
        </is>
      </c>
      <c r="C170" s="2" t="inlineStr">
        <is>
          <t>11G DUPLEXER UNIT</t>
        </is>
      </c>
      <c r="D170" s="2" t="inlineStr">
        <is>
          <t>11G 송수신 분리/결합 유니트</t>
        </is>
      </c>
      <c r="E170" s="8" t="inlineStr">
        <is>
          <t>Duplexer</t>
        </is>
      </c>
      <c r="F170" s="8" t="inlineStr"/>
      <c r="G170" s="8" t="inlineStr">
        <is>
          <t>11GHz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</row>
    <row r="171">
      <c r="A171" s="2" t="n">
        <v>170</v>
      </c>
      <c r="B171" s="2" t="inlineStr">
        <is>
          <t>K9208722</t>
        </is>
      </c>
      <c r="C171" s="2" t="inlineStr">
        <is>
          <t>U-LINK</t>
        </is>
      </c>
      <c r="D171" s="2" t="inlineStr">
        <is>
          <t>채널 증설 브랜칭</t>
        </is>
      </c>
      <c r="E171" s="8" t="inlineStr">
        <is>
          <t>기타</t>
        </is>
      </c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</row>
    <row r="172">
      <c r="A172" s="2" t="n">
        <v>171</v>
      </c>
      <c r="B172" s="2" t="inlineStr">
        <is>
          <t>K9208723</t>
        </is>
      </c>
      <c r="C172" s="2" t="inlineStr">
        <is>
          <t>TERMINAL UNIT</t>
        </is>
      </c>
      <c r="D172" s="2" t="inlineStr">
        <is>
          <t>채널 터미네이션 유니트</t>
        </is>
      </c>
      <c r="E172" s="8" t="inlineStr">
        <is>
          <t>기타</t>
        </is>
      </c>
      <c r="F172" s="8" t="inlineStr"/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</row>
    <row r="173">
      <c r="A173" s="2" t="n">
        <v>172</v>
      </c>
      <c r="B173" s="2" t="inlineStr">
        <is>
          <t>K9208724</t>
        </is>
      </c>
      <c r="C173" s="2" t="inlineStr">
        <is>
          <t>OBC2 Mounting Bracket Up to 4RF</t>
        </is>
      </c>
      <c r="D173" s="2" t="inlineStr">
        <is>
          <t>OBC2 4채널용 마운팅 브라켓</t>
        </is>
      </c>
      <c r="E173" s="8" t="inlineStr">
        <is>
          <t>Mount/Bracket</t>
        </is>
      </c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</row>
    <row r="174">
      <c r="A174" s="2" t="n">
        <v>173</v>
      </c>
      <c r="B174" s="2" t="inlineStr">
        <is>
          <t>K9208725</t>
        </is>
      </c>
      <c r="C174" s="2" t="inlineStr">
        <is>
          <t>OBC2 Mounting Bracket expand to 1RF</t>
        </is>
      </c>
      <c r="D174" s="2" t="inlineStr">
        <is>
          <t>OBC2 1채널용 증설 마운팅 브라켓</t>
        </is>
      </c>
      <c r="E174" s="8" t="inlineStr">
        <is>
          <t>Mount/Bracket</t>
        </is>
      </c>
      <c r="F174" s="8" t="inlineStr"/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</row>
    <row r="175">
      <c r="A175" s="2" t="n">
        <v>174</v>
      </c>
      <c r="B175" s="2" t="inlineStr">
        <is>
          <t>K9208726</t>
        </is>
      </c>
      <c r="C175" s="2" t="inlineStr">
        <is>
          <t>7/8GHz FLAT HYBRID 7.125, Direct, UMT,3.7dB</t>
        </is>
      </c>
      <c r="D175" s="2" t="inlineStr">
        <is>
          <t>8G IAP3 결합용 커플러</t>
        </is>
      </c>
      <c r="E175" s="8" t="inlineStr">
        <is>
          <t>Coupler/Hybrid</t>
        </is>
      </c>
      <c r="F175" s="8" t="inlineStr"/>
      <c r="G175" s="8" t="inlineStr">
        <is>
          <t>8GHz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8" t="inlineStr"/>
      <c r="U175" s="8" t="inlineStr"/>
    </row>
    <row r="176">
      <c r="A176" s="2" t="n">
        <v>175</v>
      </c>
      <c r="B176" s="2" t="inlineStr">
        <is>
          <t>K9208727</t>
        </is>
      </c>
      <c r="C176" s="2" t="inlineStr">
        <is>
          <t>10/11GHz FLAT HYBRID 10.0, Direct, UMT,3.7dB</t>
        </is>
      </c>
      <c r="D176" s="2" t="inlineStr">
        <is>
          <t>11G IAP3 결합용 커플러</t>
        </is>
      </c>
      <c r="E176" s="8" t="inlineStr">
        <is>
          <t>Coupler/Hybrid</t>
        </is>
      </c>
      <c r="F176" s="8" t="inlineStr"/>
      <c r="G176" s="8" t="inlineStr">
        <is>
          <t>11GHz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</row>
    <row r="177">
      <c r="A177" s="2" t="n">
        <v>176</v>
      </c>
      <c r="B177" s="2" t="inlineStr">
        <is>
          <t>K9208728</t>
        </is>
      </c>
      <c r="C177" s="2" t="inlineStr">
        <is>
          <t>7/8GHz IAP3 Mounting Bracket</t>
        </is>
      </c>
      <c r="D177" s="2" t="inlineStr">
        <is>
          <t>8G IAP3 마운팅 브라켓</t>
        </is>
      </c>
      <c r="E177" s="8" t="inlineStr">
        <is>
          <t>Mount/Bracket</t>
        </is>
      </c>
      <c r="F177" s="8" t="inlineStr"/>
      <c r="G177" s="8" t="inlineStr">
        <is>
          <t>8GHz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/>
      <c r="U177" s="8" t="inlineStr"/>
    </row>
    <row r="178">
      <c r="A178" s="2" t="n">
        <v>177</v>
      </c>
      <c r="B178" s="2" t="inlineStr">
        <is>
          <t>K9208729</t>
        </is>
      </c>
      <c r="C178" s="2" t="inlineStr">
        <is>
          <t>10/11GHz IAP3 Mounting Bracket</t>
        </is>
      </c>
      <c r="D178" s="2" t="inlineStr">
        <is>
          <t>11G IAP3 마운팅 브라켓</t>
        </is>
      </c>
      <c r="E178" s="8" t="inlineStr">
        <is>
          <t>Mount/Bracket</t>
        </is>
      </c>
      <c r="F178" s="8" t="inlineStr"/>
      <c r="G178" s="8" t="inlineStr">
        <is>
          <t>11GHz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</row>
    <row r="179">
      <c r="A179" s="2" t="n">
        <v>178</v>
      </c>
      <c r="B179" s="2" t="inlineStr">
        <is>
          <t>K9208730</t>
        </is>
      </c>
      <c r="C179" s="2" t="inlineStr">
        <is>
          <t>E1 Single Cable, 15m, for VR4/VR10</t>
        </is>
      </c>
      <c r="D179" s="2" t="inlineStr">
        <is>
          <t>VR4/VR10 E1 케이블</t>
        </is>
      </c>
      <c r="E179" s="8" t="inlineStr">
        <is>
          <t>Cable</t>
        </is>
      </c>
      <c r="F179" s="8" t="inlineStr">
        <is>
          <t>VR4</t>
        </is>
      </c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>
        <is>
          <t>E1</t>
        </is>
      </c>
      <c r="Q179" s="8" t="inlineStr">
        <is>
          <t>15m</t>
        </is>
      </c>
      <c r="R179" s="8" t="inlineStr"/>
      <c r="S179" s="8" t="inlineStr"/>
      <c r="T179" s="8" t="inlineStr"/>
      <c r="U179" s="8" t="inlineStr"/>
    </row>
    <row r="180">
      <c r="A180" s="2" t="n">
        <v>179</v>
      </c>
      <c r="B180" s="2" t="inlineStr">
        <is>
          <t>K9208731</t>
        </is>
      </c>
      <c r="C180" s="2" t="inlineStr">
        <is>
          <t>MODEM INDOOR JUMBER CABLE, 3m, FOR VR4/VR10</t>
        </is>
      </c>
      <c r="D180" s="2" t="inlineStr">
        <is>
          <t>모뎀 카드 연결용 IF 점퍼 케이블</t>
        </is>
      </c>
      <c r="E180" s="8" t="inlineStr">
        <is>
          <t>Modem</t>
        </is>
      </c>
      <c r="F180" s="8" t="inlineStr">
        <is>
          <t>VR4</t>
        </is>
      </c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>
        <is>
          <t>3m</t>
        </is>
      </c>
      <c r="R180" s="8" t="inlineStr"/>
      <c r="S180" s="8" t="inlineStr"/>
      <c r="T180" s="8" t="inlineStr"/>
      <c r="U180" s="8" t="inlineStr"/>
    </row>
    <row r="181">
      <c r="A181" s="2" t="n">
        <v>180</v>
      </c>
      <c r="B181" s="2" t="inlineStr">
        <is>
          <t>K9208732</t>
        </is>
      </c>
      <c r="C181" s="2" t="inlineStr">
        <is>
          <t>HEAD SET</t>
        </is>
      </c>
      <c r="D181" s="2" t="inlineStr">
        <is>
          <t>Orderwir 이어폰</t>
        </is>
      </c>
      <c r="E181" s="8" t="inlineStr">
        <is>
          <t>기타</t>
        </is>
      </c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8" t="inlineStr"/>
    </row>
    <row r="182">
      <c r="A182" s="2" t="n">
        <v>181</v>
      </c>
      <c r="B182" s="2" t="inlineStr">
        <is>
          <t>K9208733</t>
        </is>
      </c>
      <c r="C182" s="2" t="inlineStr">
        <is>
          <t>VR4 Node License</t>
        </is>
      </c>
      <c r="D182" s="2" t="inlineStr">
        <is>
          <t>VR4 구동 라이선스</t>
        </is>
      </c>
      <c r="E182" s="8" t="inlineStr">
        <is>
          <t>License</t>
        </is>
      </c>
      <c r="F182" s="8" t="inlineStr">
        <is>
          <t>VR4</t>
        </is>
      </c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</row>
    <row r="183">
      <c r="A183" s="2" t="n">
        <v>182</v>
      </c>
      <c r="B183" s="2" t="inlineStr">
        <is>
          <t>K9208734</t>
        </is>
      </c>
      <c r="C183" s="2" t="inlineStr">
        <is>
          <t>VR10 Node License</t>
        </is>
      </c>
      <c r="D183" s="2" t="inlineStr">
        <is>
          <t>VR10 구동 라이선스</t>
        </is>
      </c>
      <c r="E183" s="8" t="inlineStr">
        <is>
          <t>License</t>
        </is>
      </c>
      <c r="F183" s="8" t="inlineStr">
        <is>
          <t>VR10</t>
        </is>
      </c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/>
      <c r="U183" s="8" t="inlineStr"/>
    </row>
    <row r="184">
      <c r="A184" s="2" t="n">
        <v>183</v>
      </c>
      <c r="B184" s="2" t="inlineStr">
        <is>
          <t>K9208735</t>
        </is>
      </c>
      <c r="C184" s="2" t="inlineStr">
        <is>
          <t>PROVISION PLUS_500Node 기준</t>
        </is>
      </c>
      <c r="D184" s="2" t="inlineStr">
        <is>
          <t>EMS 소프트웨어</t>
        </is>
      </c>
      <c r="E184" s="8" t="inlineStr">
        <is>
          <t>NMS/EMS</t>
        </is>
      </c>
      <c r="F184" s="8" t="inlineStr"/>
      <c r="G184" s="8" t="inlineStr"/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</row>
    <row r="185">
      <c r="A185" s="2" t="n">
        <v>184</v>
      </c>
      <c r="B185" s="2" t="inlineStr">
        <is>
          <t>K9210610</t>
        </is>
      </c>
      <c r="C185" s="2" t="inlineStr">
        <is>
          <t>HAX_WTM 4500XT 4GHz</t>
        </is>
      </c>
      <c r="D185" s="2" t="inlineStr">
        <is>
          <t>4G밴드 무선 모듈</t>
        </is>
      </c>
      <c r="E185" s="8" t="inlineStr">
        <is>
          <t>WTM</t>
        </is>
      </c>
      <c r="F185" s="8" t="inlineStr">
        <is>
          <t>WTM4500XT</t>
        </is>
      </c>
      <c r="G185" s="8" t="inlineStr">
        <is>
          <t>4GHz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8" t="inlineStr"/>
      <c r="S185" s="8" t="inlineStr"/>
      <c r="T185" s="8" t="inlineStr"/>
      <c r="U185" s="8" t="inlineStr"/>
    </row>
    <row r="186">
      <c r="A186" s="2" t="n">
        <v>185</v>
      </c>
      <c r="B186" s="2" t="inlineStr">
        <is>
          <t>K9210611</t>
        </is>
      </c>
      <c r="C186" s="2" t="inlineStr">
        <is>
          <t>HAX_4GHz WBX 4 CHANNEL</t>
        </is>
      </c>
      <c r="D186" s="2" t="inlineStr">
        <is>
          <t>4G밴드 4채널 필터/결합 유니트</t>
        </is>
      </c>
      <c r="E186" s="8" t="inlineStr">
        <is>
          <t>WBX</t>
        </is>
      </c>
      <c r="F186" s="8" t="inlineStr"/>
      <c r="G186" s="8" t="inlineStr">
        <is>
          <t>4GHz</t>
        </is>
      </c>
      <c r="H186" s="8" t="inlineStr"/>
      <c r="I186" s="8" t="inlineStr"/>
      <c r="J186" s="8" t="inlineStr"/>
      <c r="K186" s="8" t="inlineStr">
        <is>
          <t>4채널</t>
        </is>
      </c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</row>
    <row r="187">
      <c r="A187" s="2" t="n">
        <v>186</v>
      </c>
      <c r="B187" s="2" t="inlineStr">
        <is>
          <t>K9210612</t>
        </is>
      </c>
      <c r="C187" s="2" t="inlineStr">
        <is>
          <t>HAX_4GHz WBX 4 CHANNEL SD OPTION</t>
        </is>
      </c>
      <c r="D187" s="2" t="inlineStr">
        <is>
          <t>4G밴드 4채널 필터/결합 유니트(SD구성용)</t>
        </is>
      </c>
      <c r="E187" s="8" t="inlineStr">
        <is>
          <t>WBX</t>
        </is>
      </c>
      <c r="F187" s="8" t="inlineStr"/>
      <c r="G187" s="8" t="inlineStr">
        <is>
          <t>4GHz</t>
        </is>
      </c>
      <c r="H187" s="8" t="inlineStr"/>
      <c r="I187" s="8" t="inlineStr"/>
      <c r="J187" s="8" t="inlineStr"/>
      <c r="K187" s="8" t="inlineStr">
        <is>
          <t>4채널</t>
        </is>
      </c>
      <c r="L187" s="8" t="inlineStr"/>
      <c r="M187" s="8" t="inlineStr">
        <is>
          <t>Y</t>
        </is>
      </c>
      <c r="N187" s="8" t="inlineStr"/>
      <c r="O187" s="8" t="inlineStr"/>
      <c r="P187" s="8" t="inlineStr"/>
      <c r="Q187" s="8" t="inlineStr"/>
      <c r="R187" s="8" t="inlineStr"/>
      <c r="S187" s="8" t="inlineStr"/>
      <c r="T187" s="8" t="inlineStr"/>
      <c r="U187" s="8" t="inlineStr"/>
    </row>
    <row r="188">
      <c r="A188" s="2" t="n">
        <v>187</v>
      </c>
      <c r="B188" s="2" t="inlineStr">
        <is>
          <t>K9210613</t>
        </is>
      </c>
      <c r="C188" s="2" t="inlineStr">
        <is>
          <t>HAX_4GHz WBX 8 CHANNEL</t>
        </is>
      </c>
      <c r="D188" s="2" t="inlineStr">
        <is>
          <t>4G밴드 8채널 필터/결합 유니트</t>
        </is>
      </c>
      <c r="E188" s="8" t="inlineStr">
        <is>
          <t>WBX</t>
        </is>
      </c>
      <c r="F188" s="8" t="inlineStr"/>
      <c r="G188" s="8" t="inlineStr">
        <is>
          <t>4GHz</t>
        </is>
      </c>
      <c r="H188" s="8" t="inlineStr"/>
      <c r="I188" s="8" t="inlineStr"/>
      <c r="J188" s="8" t="inlineStr"/>
      <c r="K188" s="8" t="inlineStr">
        <is>
          <t>8채널</t>
        </is>
      </c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</row>
    <row r="189">
      <c r="A189" s="2" t="n">
        <v>188</v>
      </c>
      <c r="B189" s="2" t="inlineStr">
        <is>
          <t>K9210614</t>
        </is>
      </c>
      <c r="C189" s="2" t="inlineStr">
        <is>
          <t>HAX_4GHz WBX 8 CHANNEL SD OPTION</t>
        </is>
      </c>
      <c r="D189" s="2" t="inlineStr">
        <is>
          <t>4G밴드 8채널 필터/결합 유니트(SD구성용)</t>
        </is>
      </c>
      <c r="E189" s="8" t="inlineStr">
        <is>
          <t>WBX</t>
        </is>
      </c>
      <c r="F189" s="8" t="inlineStr"/>
      <c r="G189" s="8" t="inlineStr">
        <is>
          <t>4GHz</t>
        </is>
      </c>
      <c r="H189" s="8" t="inlineStr"/>
      <c r="I189" s="8" t="inlineStr"/>
      <c r="J189" s="8" t="inlineStr"/>
      <c r="K189" s="8" t="inlineStr">
        <is>
          <t>8채널</t>
        </is>
      </c>
      <c r="L189" s="8" t="inlineStr"/>
      <c r="M189" s="8" t="inlineStr">
        <is>
          <t>Y</t>
        </is>
      </c>
      <c r="N189" s="8" t="inlineStr"/>
      <c r="O189" s="8" t="inlineStr"/>
      <c r="P189" s="8" t="inlineStr"/>
      <c r="Q189" s="8" t="inlineStr"/>
      <c r="R189" s="8" t="inlineStr"/>
      <c r="S189" s="8" t="inlineStr"/>
      <c r="T189" s="8" t="inlineStr"/>
      <c r="U189" s="8" t="inlineStr"/>
    </row>
    <row r="190">
      <c r="A190" s="2" t="n">
        <v>189</v>
      </c>
      <c r="B190" s="2" t="inlineStr">
        <is>
          <t>K9210615</t>
        </is>
      </c>
      <c r="C190" s="2" t="inlineStr">
        <is>
          <t>HAX_L6GHz ODU IAP3 LOW</t>
        </is>
      </c>
      <c r="D190" s="2" t="inlineStr">
        <is>
          <t>L6G밴드 무선 모듈(TX LOW)</t>
        </is>
      </c>
      <c r="E190" s="8" t="inlineStr">
        <is>
          <t>ODU/RFU</t>
        </is>
      </c>
      <c r="F190" s="8" t="inlineStr"/>
      <c r="G190" s="8" t="inlineStr">
        <is>
          <t>L6GHz</t>
        </is>
      </c>
      <c r="H190" s="8" t="inlineStr">
        <is>
          <t>L6GHz</t>
        </is>
      </c>
      <c r="I190" s="8" t="inlineStr">
        <is>
          <t>Low Band</t>
        </is>
      </c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</row>
    <row r="191">
      <c r="A191" s="2" t="n">
        <v>190</v>
      </c>
      <c r="B191" s="2" t="inlineStr">
        <is>
          <t>K9210616</t>
        </is>
      </c>
      <c r="C191" s="2" t="inlineStr">
        <is>
          <t>HAX_L6GHz ODU IAP3 HIGH</t>
        </is>
      </c>
      <c r="D191" s="2" t="inlineStr">
        <is>
          <t>L6G밴드 무선 모듈(TX HIGH)</t>
        </is>
      </c>
      <c r="E191" s="8" t="inlineStr">
        <is>
          <t>ODU/RFU</t>
        </is>
      </c>
      <c r="F191" s="8" t="inlineStr"/>
      <c r="G191" s="8" t="inlineStr">
        <is>
          <t>L6GHz</t>
        </is>
      </c>
      <c r="H191" s="8" t="inlineStr">
        <is>
          <t>L6GHz</t>
        </is>
      </c>
      <c r="I191" s="8" t="inlineStr">
        <is>
          <t>High Band</t>
        </is>
      </c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</row>
    <row r="192">
      <c r="A192" s="2" t="n">
        <v>191</v>
      </c>
      <c r="B192" s="2" t="inlineStr">
        <is>
          <t>K9210617</t>
        </is>
      </c>
      <c r="C192" s="2" t="inlineStr">
        <is>
          <t>HAX_U6GHz ODU IAP3 LOW</t>
        </is>
      </c>
      <c r="D192" s="2" t="inlineStr">
        <is>
          <t>U6G밴드 무선 모듈(TX LOW)</t>
        </is>
      </c>
      <c r="E192" s="8" t="inlineStr">
        <is>
          <t>ODU/RFU</t>
        </is>
      </c>
      <c r="F192" s="8" t="inlineStr"/>
      <c r="G192" s="8" t="inlineStr">
        <is>
          <t>U6GHz</t>
        </is>
      </c>
      <c r="H192" s="8" t="inlineStr">
        <is>
          <t>U6GHz</t>
        </is>
      </c>
      <c r="I192" s="8" t="inlineStr">
        <is>
          <t>Low Band</t>
        </is>
      </c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</row>
    <row r="193">
      <c r="A193" s="2" t="n">
        <v>192</v>
      </c>
      <c r="B193" s="2" t="inlineStr">
        <is>
          <t>K9210618</t>
        </is>
      </c>
      <c r="C193" s="2" t="inlineStr">
        <is>
          <t>HAX_U6GHz ODU IAP3 HIGH</t>
        </is>
      </c>
      <c r="D193" s="2" t="inlineStr">
        <is>
          <t>U6G밴드 무선 모듈(TX HIGH)</t>
        </is>
      </c>
      <c r="E193" s="8" t="inlineStr">
        <is>
          <t>ODU/RFU</t>
        </is>
      </c>
      <c r="F193" s="8" t="inlineStr"/>
      <c r="G193" s="8" t="inlineStr">
        <is>
          <t>U6GHz</t>
        </is>
      </c>
      <c r="H193" s="8" t="inlineStr">
        <is>
          <t>U6GHz</t>
        </is>
      </c>
      <c r="I193" s="8" t="inlineStr">
        <is>
          <t>High Band</t>
        </is>
      </c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8" t="inlineStr"/>
      <c r="U193" s="8" t="inlineStr"/>
    </row>
    <row r="194">
      <c r="A194" s="2" t="n">
        <v>193</v>
      </c>
      <c r="B194" s="2" t="inlineStr">
        <is>
          <t>K9210619</t>
        </is>
      </c>
      <c r="C194" s="2" t="inlineStr">
        <is>
          <t>6G OBC2 CORE UNIT</t>
        </is>
      </c>
      <c r="D194" s="2" t="inlineStr">
        <is>
          <t>6G밴드 채널 필터/결합 유니트</t>
        </is>
      </c>
      <c r="E194" s="8" t="inlineStr">
        <is>
          <t>OBC2</t>
        </is>
      </c>
      <c r="F194" s="8" t="inlineStr"/>
      <c r="G194" s="8" t="inlineStr">
        <is>
          <t>6GHz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</row>
    <row r="195">
      <c r="A195" s="2" t="n">
        <v>194</v>
      </c>
      <c r="B195" s="2" t="inlineStr">
        <is>
          <t>K9210620</t>
        </is>
      </c>
      <c r="C195" s="2" t="inlineStr">
        <is>
          <t>6G DUPLEXER UNIT</t>
        </is>
      </c>
      <c r="D195" s="2" t="inlineStr">
        <is>
          <t>6G밴드 송수신 분리/결합 유니트</t>
        </is>
      </c>
      <c r="E195" s="8" t="inlineStr">
        <is>
          <t>Duplexer</t>
        </is>
      </c>
      <c r="F195" s="8" t="inlineStr"/>
      <c r="G195" s="8" t="inlineStr">
        <is>
          <t>6GHz</t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8" t="inlineStr"/>
      <c r="U195" s="8" t="inlineStr"/>
    </row>
    <row r="196">
      <c r="A196" s="2" t="n">
        <v>195</v>
      </c>
      <c r="B196" s="2" t="inlineStr">
        <is>
          <t>K9210621</t>
        </is>
      </c>
      <c r="C196" s="2" t="inlineStr">
        <is>
          <t>6GHz FLAT HYBRID 5.900 Direct UMT 3.7dB</t>
        </is>
      </c>
      <c r="D196" s="2" t="inlineStr">
        <is>
          <t>6G IAP3 결합용 커플러</t>
        </is>
      </c>
      <c r="E196" s="8" t="inlineStr">
        <is>
          <t>Coupler/Hybrid</t>
        </is>
      </c>
      <c r="F196" s="8" t="inlineStr"/>
      <c r="G196" s="8" t="inlineStr">
        <is>
          <t>6GHz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</row>
    <row r="197">
      <c r="A197" s="2" t="n">
        <v>196</v>
      </c>
      <c r="B197" s="2" t="inlineStr">
        <is>
          <t>K9210622</t>
        </is>
      </c>
      <c r="C197" s="2" t="inlineStr">
        <is>
          <t>6GHz IAP3 Mounting Bracket</t>
        </is>
      </c>
      <c r="D197" s="2" t="inlineStr">
        <is>
          <t>6G IAP3 마운팅 브라켓</t>
        </is>
      </c>
      <c r="E197" s="8" t="inlineStr">
        <is>
          <t>Mount/Bracket</t>
        </is>
      </c>
      <c r="F197" s="8" t="inlineStr"/>
      <c r="G197" s="8" t="inlineStr">
        <is>
          <t>6GHz</t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8" t="inlineStr"/>
      <c r="U197" s="8" t="inlineStr"/>
    </row>
    <row r="198">
      <c r="A198" s="2" t="n">
        <v>197</v>
      </c>
      <c r="B198" s="2" t="inlineStr">
        <is>
          <t>K9210623</t>
        </is>
      </c>
      <c r="C198" s="2" t="inlineStr">
        <is>
          <t>FLEXIBLE LMR 600 CABLE 4GHz 1500MM N-TYPE MALE</t>
        </is>
      </c>
      <c r="D198" s="2" t="inlineStr">
        <is>
          <t>4G밴드 후렉시블 KIT(MAIN용)</t>
        </is>
      </c>
      <c r="E198" s="8" t="inlineStr">
        <is>
          <t>Waveguide</t>
        </is>
      </c>
      <c r="F198" s="8" t="inlineStr"/>
      <c r="G198" s="8" t="inlineStr">
        <is>
          <t>4GHz</t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>
        <is>
          <t>1500mm</t>
        </is>
      </c>
      <c r="R198" s="8" t="inlineStr"/>
      <c r="S198" s="8" t="inlineStr"/>
      <c r="T198" s="8" t="inlineStr"/>
      <c r="U198" s="8" t="inlineStr"/>
    </row>
    <row r="199">
      <c r="A199" s="2" t="n">
        <v>198</v>
      </c>
      <c r="B199" s="2" t="inlineStr">
        <is>
          <t>K9210624</t>
        </is>
      </c>
      <c r="C199" s="2" t="inlineStr">
        <is>
          <t>FLEXIBLE LDF4-50A CABLE 4GHz 2000MM N-TYPE MALE</t>
        </is>
      </c>
      <c r="D199" s="2" t="inlineStr">
        <is>
          <t>4G밴드 후렉시블 KIT(SD용)</t>
        </is>
      </c>
      <c r="E199" s="8" t="inlineStr">
        <is>
          <t>Waveguide</t>
        </is>
      </c>
      <c r="F199" s="8" t="inlineStr"/>
      <c r="G199" s="8" t="inlineStr">
        <is>
          <t>4GHz</t>
        </is>
      </c>
      <c r="H199" s="8" t="inlineStr"/>
      <c r="I199" s="8" t="inlineStr"/>
      <c r="J199" s="8" t="inlineStr"/>
      <c r="K199" s="8" t="inlineStr"/>
      <c r="L199" s="8" t="inlineStr"/>
      <c r="M199" s="8" t="inlineStr">
        <is>
          <t>Y</t>
        </is>
      </c>
      <c r="N199" s="8" t="inlineStr"/>
      <c r="O199" s="8" t="inlineStr"/>
      <c r="P199" s="8" t="inlineStr"/>
      <c r="Q199" s="8" t="inlineStr">
        <is>
          <t>2000mm</t>
        </is>
      </c>
      <c r="R199" s="8" t="inlineStr"/>
      <c r="S199" s="8" t="inlineStr"/>
      <c r="T199" s="8" t="inlineStr"/>
      <c r="U199" s="8" t="inlineStr"/>
    </row>
    <row r="200">
      <c r="A200" s="2" t="n">
        <v>199</v>
      </c>
      <c r="B200" s="2" t="inlineStr">
        <is>
          <t>K9210625</t>
        </is>
      </c>
      <c r="C200" s="2" t="inlineStr">
        <is>
          <t>N-TYPE MALE TO PDR48 ADAPTER 4GHz</t>
        </is>
      </c>
      <c r="D200" s="2" t="inlineStr">
        <is>
          <t>4G밴드 아답터</t>
        </is>
      </c>
      <c r="E200" s="8" t="inlineStr">
        <is>
          <t>Connector</t>
        </is>
      </c>
      <c r="F200" s="8" t="inlineStr"/>
      <c r="G200" s="8" t="inlineStr">
        <is>
          <t>4GHz</t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>
        <is>
          <t>PDR48</t>
        </is>
      </c>
      <c r="S200" s="8" t="inlineStr"/>
      <c r="T200" s="8" t="inlineStr"/>
      <c r="U200" s="8" t="inlineStr"/>
    </row>
    <row r="201">
      <c r="A201" s="2" t="n">
        <v>200</v>
      </c>
      <c r="B201" s="2" t="inlineStr">
        <is>
          <t>K9210626</t>
        </is>
      </c>
      <c r="C201" s="2" t="inlineStr">
        <is>
          <t>PDR48 FIXED CONNECTOR</t>
        </is>
      </c>
      <c r="D201" s="2" t="inlineStr">
        <is>
          <t>4G밴드 WG 콘넥터</t>
        </is>
      </c>
      <c r="E201" s="8" t="inlineStr">
        <is>
          <t>Connector</t>
        </is>
      </c>
      <c r="F201" s="8" t="inlineStr"/>
      <c r="G201" s="8" t="inlineStr">
        <is>
          <t>4GHz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>
        <is>
          <t>PDR48</t>
        </is>
      </c>
      <c r="S201" s="8" t="inlineStr"/>
      <c r="T201" s="8" t="inlineStr"/>
      <c r="U201" s="8" t="inlineStr"/>
    </row>
    <row r="202">
      <c r="A202" s="2" t="n">
        <v>201</v>
      </c>
      <c r="B202" s="2" t="inlineStr">
        <is>
          <t>K9210627</t>
        </is>
      </c>
      <c r="C202" s="2" t="inlineStr">
        <is>
          <t>STANDARD ELLIPTICAL WAVEGUIDE 1000MM</t>
        </is>
      </c>
      <c r="D202" s="2" t="inlineStr">
        <is>
          <t>4G밴드 WG</t>
        </is>
      </c>
      <c r="E202" s="8" t="inlineStr">
        <is>
          <t>Waveguide</t>
        </is>
      </c>
      <c r="F202" s="8" t="inlineStr"/>
      <c r="G202" s="8" t="inlineStr">
        <is>
          <t>4GHz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>
        <is>
          <t>1000mm</t>
        </is>
      </c>
      <c r="R202" s="8" t="inlineStr"/>
      <c r="S202" s="8" t="inlineStr"/>
      <c r="T202" s="8" t="inlineStr"/>
      <c r="U202" s="8" t="inlineStr"/>
    </row>
    <row r="203">
      <c r="A203" s="2" t="n">
        <v>202</v>
      </c>
      <c r="B203" s="2" t="inlineStr">
        <is>
          <t>K9210628</t>
        </is>
      </c>
      <c r="C203" s="2" t="inlineStr">
        <is>
          <t>BUTTERFLY HANGER KIT</t>
        </is>
      </c>
      <c r="D203" s="2" t="inlineStr">
        <is>
          <t>4G밴드 WG 고정브라켓</t>
        </is>
      </c>
      <c r="E203" s="8" t="inlineStr">
        <is>
          <t>Mount/Bracket</t>
        </is>
      </c>
      <c r="F203" s="8" t="inlineStr"/>
      <c r="G203" s="8" t="inlineStr">
        <is>
          <t>4GHz</t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8" t="inlineStr"/>
      <c r="R203" s="8" t="inlineStr"/>
      <c r="S203" s="8" t="inlineStr"/>
      <c r="T203" s="8" t="inlineStr"/>
      <c r="U203" s="8" t="inlineStr"/>
    </row>
    <row r="204">
      <c r="A204" s="2" t="n">
        <v>203</v>
      </c>
      <c r="B204" s="2" t="inlineStr">
        <is>
          <t>K9210629</t>
        </is>
      </c>
      <c r="C204" s="2" t="inlineStr">
        <is>
          <t>PRESSURE WINDOW</t>
        </is>
      </c>
      <c r="D204" s="2" t="inlineStr">
        <is>
          <t>4G밴드 WG 차단 막</t>
        </is>
      </c>
      <c r="E204" s="8" t="inlineStr">
        <is>
          <t>기타</t>
        </is>
      </c>
      <c r="F204" s="8" t="inlineStr"/>
      <c r="G204" s="8" t="inlineStr">
        <is>
          <t>4GHz</t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</row>
    <row r="205">
      <c r="A205" s="2" t="n">
        <v>204</v>
      </c>
      <c r="B205" s="2" t="inlineStr">
        <is>
          <t>K9210630</t>
        </is>
      </c>
      <c r="C205" s="2" t="inlineStr">
        <is>
          <t>STANDARD AND UNIVERSIAL GROUNDING KIT</t>
        </is>
      </c>
      <c r="D205" s="2" t="inlineStr">
        <is>
          <t>4G밴드 WG 접지 KIT</t>
        </is>
      </c>
      <c r="E205" s="8" t="inlineStr">
        <is>
          <t>Surge/Grounding</t>
        </is>
      </c>
      <c r="F205" s="8" t="inlineStr"/>
      <c r="G205" s="8" t="inlineStr">
        <is>
          <t>4GHz</t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8" t="inlineStr"/>
      <c r="R205" s="8" t="inlineStr"/>
      <c r="S205" s="8" t="inlineStr"/>
      <c r="T205" s="8" t="inlineStr"/>
      <c r="U205" s="8" t="inlineStr"/>
    </row>
    <row r="206">
      <c r="A206" s="2" t="n">
        <v>205</v>
      </c>
      <c r="B206" s="2" t="inlineStr">
        <is>
          <t>K9210631</t>
        </is>
      </c>
      <c r="C206" s="2" t="inlineStr">
        <is>
          <t>FLEXIBLE WAVEGUIDE 6GHz 1200MM PDR70 FLANGES</t>
        </is>
      </c>
      <c r="D206" s="2" t="inlineStr">
        <is>
          <t>6G밴드 후렉시블 KIT</t>
        </is>
      </c>
      <c r="E206" s="8" t="inlineStr">
        <is>
          <t>Waveguide</t>
        </is>
      </c>
      <c r="F206" s="8" t="inlineStr"/>
      <c r="G206" s="8" t="inlineStr">
        <is>
          <t>6GHz</t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>
        <is>
          <t>1200mm</t>
        </is>
      </c>
      <c r="R206" s="8" t="inlineStr">
        <is>
          <t>PDR70</t>
        </is>
      </c>
      <c r="S206" s="8" t="inlineStr"/>
      <c r="T206" s="8" t="inlineStr"/>
      <c r="U206" s="8" t="inlineStr"/>
    </row>
    <row r="207">
      <c r="A207" s="2" t="n">
        <v>206</v>
      </c>
      <c r="B207" s="2" t="inlineStr">
        <is>
          <t>K9210632</t>
        </is>
      </c>
      <c r="C207" s="2" t="inlineStr">
        <is>
          <t>HAX_MULTI POWER CABLE 50M</t>
        </is>
      </c>
      <c r="D207" s="2" t="inlineStr">
        <is>
          <t>옥외용 전원 케이블</t>
        </is>
      </c>
      <c r="E207" s="8" t="inlineStr">
        <is>
          <t>Cable</t>
        </is>
      </c>
      <c r="F207" s="8" t="inlineStr"/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>
        <is>
          <t>50m</t>
        </is>
      </c>
      <c r="R207" s="8" t="inlineStr"/>
      <c r="S207" s="8" t="inlineStr"/>
      <c r="T207" s="8" t="inlineStr"/>
      <c r="U207" s="8" t="inlineStr"/>
    </row>
    <row r="208">
      <c r="A208" s="2" t="n">
        <v>207</v>
      </c>
      <c r="B208" s="2" t="inlineStr">
        <is>
          <t>K9210633</t>
        </is>
      </c>
      <c r="C208" s="2" t="inlineStr">
        <is>
          <t>HAX_MULTI POWER CABLE 75M</t>
        </is>
      </c>
      <c r="D208" s="2" t="inlineStr">
        <is>
          <t>옥외용 전원 케이블</t>
        </is>
      </c>
      <c r="E208" s="8" t="inlineStr">
        <is>
          <t>Cable</t>
        </is>
      </c>
      <c r="F208" s="8" t="inlineStr"/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>
        <is>
          <t>75m</t>
        </is>
      </c>
      <c r="R208" s="8" t="inlineStr"/>
      <c r="S208" s="8" t="inlineStr"/>
      <c r="T208" s="8" t="inlineStr"/>
      <c r="U208" s="8" t="inlineStr"/>
    </row>
    <row r="209">
      <c r="A209" s="2" t="n">
        <v>208</v>
      </c>
      <c r="B209" s="2" t="inlineStr">
        <is>
          <t>K9210634</t>
        </is>
      </c>
      <c r="C209" s="2" t="inlineStr">
        <is>
          <t>HAX_MULTI FIBER CABLE 50M</t>
        </is>
      </c>
      <c r="D209" s="2" t="inlineStr">
        <is>
          <t>옥외용 광 케이블</t>
        </is>
      </c>
      <c r="E209" s="8" t="inlineStr">
        <is>
          <t>Cable</t>
        </is>
      </c>
      <c r="F209" s="8" t="inlineStr"/>
      <c r="G209" s="8" t="inlineStr"/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>
        <is>
          <t>50m</t>
        </is>
      </c>
      <c r="R209" s="8" t="inlineStr"/>
      <c r="S209" s="8" t="inlineStr"/>
      <c r="T209" s="8" t="inlineStr"/>
      <c r="U209" s="8" t="inlineStr"/>
    </row>
    <row r="210">
      <c r="A210" s="2" t="n">
        <v>209</v>
      </c>
      <c r="B210" s="2" t="inlineStr">
        <is>
          <t>K9210635</t>
        </is>
      </c>
      <c r="C210" s="2" t="inlineStr">
        <is>
          <t>HAX_MULTI FIBER CABLE 75M</t>
        </is>
      </c>
      <c r="D210" s="2" t="inlineStr">
        <is>
          <t>옥외용 광 케이블</t>
        </is>
      </c>
      <c r="E210" s="8" t="inlineStr">
        <is>
          <t>Cable</t>
        </is>
      </c>
      <c r="F210" s="8" t="inlineStr"/>
      <c r="G210" s="8" t="inlineStr"/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>
        <is>
          <t>75m</t>
        </is>
      </c>
      <c r="R210" s="8" t="inlineStr"/>
      <c r="S210" s="8" t="inlineStr"/>
      <c r="T210" s="8" t="inlineStr"/>
      <c r="U210" s="8" t="inlineStr"/>
    </row>
    <row r="211">
      <c r="A211" s="2" t="n">
        <v>210</v>
      </c>
      <c r="B211" s="2" t="inlineStr">
        <is>
          <t>K9210636</t>
        </is>
      </c>
      <c r="C211" s="2" t="inlineStr">
        <is>
          <t>HAX_MULTI ETHERNET CABLE 50M</t>
        </is>
      </c>
      <c r="D211" s="2" t="inlineStr">
        <is>
          <t>옥외용 UTP 케이블</t>
        </is>
      </c>
      <c r="E211" s="8" t="inlineStr">
        <is>
          <t>Cable</t>
        </is>
      </c>
      <c r="F211" s="8" t="inlineStr"/>
      <c r="G211" s="8" t="inlineStr"/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>
        <is>
          <t>50m</t>
        </is>
      </c>
      <c r="R211" s="8" t="inlineStr"/>
      <c r="S211" s="8" t="inlineStr"/>
      <c r="T211" s="8" t="inlineStr"/>
      <c r="U211" s="8" t="inlineStr"/>
    </row>
    <row r="212">
      <c r="A212" s="2" t="n">
        <v>211</v>
      </c>
      <c r="B212" s="2" t="inlineStr">
        <is>
          <t>K9210637</t>
        </is>
      </c>
      <c r="C212" s="2" t="inlineStr">
        <is>
          <t>HAX_MULTI ETHERNET CABLE 75M</t>
        </is>
      </c>
      <c r="D212" s="2" t="inlineStr">
        <is>
          <t>옥외용 UTP 케이블</t>
        </is>
      </c>
      <c r="E212" s="8" t="inlineStr">
        <is>
          <t>Cable</t>
        </is>
      </c>
      <c r="F212" s="8" t="inlineStr"/>
      <c r="G212" s="8" t="inlineStr"/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>
        <is>
          <t>75m</t>
        </is>
      </c>
      <c r="R212" s="8" t="inlineStr"/>
      <c r="S212" s="8" t="inlineStr"/>
      <c r="T212" s="8" t="inlineStr"/>
      <c r="U212" s="8" t="inlineStr"/>
    </row>
    <row r="213">
      <c r="A213" s="2" t="n">
        <v>212</v>
      </c>
      <c r="B213" s="2" t="inlineStr">
        <is>
          <t>K9210638</t>
        </is>
      </c>
      <c r="C213" s="2" t="inlineStr">
        <is>
          <t>HAX_EMS CLIENT PC(NOTEBOOK)</t>
        </is>
      </c>
      <c r="D213" s="2" t="inlineStr">
        <is>
          <t>운용터미널 PC</t>
        </is>
      </c>
      <c r="E213" s="8" t="inlineStr">
        <is>
          <t>PC/운영장비</t>
        </is>
      </c>
      <c r="F213" s="8" t="inlineStr"/>
      <c r="G213" s="8" t="inlineStr"/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  <c r="T213" s="8" t="inlineStr"/>
      <c r="U213" s="8" t="inlineStr"/>
    </row>
    <row r="214">
      <c r="A214" s="2" t="n">
        <v>213</v>
      </c>
      <c r="B214" s="2" t="inlineStr">
        <is>
          <t>K9210639</t>
        </is>
      </c>
      <c r="C214" s="2" t="inlineStr">
        <is>
          <t>HAX_EMS CLIENT PC(DESKTOP)</t>
        </is>
      </c>
      <c r="D214" s="2" t="inlineStr">
        <is>
          <t>운용터미널 PC</t>
        </is>
      </c>
      <c r="E214" s="8" t="inlineStr">
        <is>
          <t>PC/운영장비</t>
        </is>
      </c>
      <c r="F214" s="8" t="inlineStr"/>
      <c r="G214" s="8" t="inlineStr"/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</row>
  </sheetData>
  <autoFilter ref="A1:U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60" customWidth="1" min="3" max="3"/>
    <col width="45" customWidth="1" min="4" max="4"/>
    <col width="26" customWidth="1" min="5" max="5"/>
    <col width="60" customWidth="1" min="6" max="6"/>
    <col width="29" customWidth="1" min="7" max="7"/>
  </cols>
  <sheetData>
    <row r="1" ht="32" customHeight="1">
      <c r="A1" s="1" t="inlineStr">
        <is>
          <t>구분</t>
        </is>
      </c>
      <c r="B1" s="1" t="inlineStr">
        <is>
          <t>순번</t>
        </is>
      </c>
      <c r="C1" s="1" t="inlineStr">
        <is>
          <t>K코드</t>
        </is>
      </c>
      <c r="D1" s="1" t="inlineStr">
        <is>
          <t>품명</t>
        </is>
      </c>
      <c r="E1" s="1" t="inlineStr">
        <is>
          <t>이슈유형</t>
        </is>
      </c>
      <c r="F1" s="1" t="inlineStr">
        <is>
          <t>상세설명</t>
        </is>
      </c>
      <c r="G1" s="1" t="inlineStr">
        <is>
          <t>확정수준</t>
        </is>
      </c>
    </row>
    <row r="2">
      <c r="A2" s="8" t="inlineStr">
        <is>
          <t>전체(공통)</t>
        </is>
      </c>
      <c r="B2" s="8" t="inlineStr">
        <is>
          <t>-</t>
        </is>
      </c>
      <c r="C2" s="8" t="inlineStr">
        <is>
          <t>-</t>
        </is>
      </c>
      <c r="D2" s="8" t="inlineStr">
        <is>
          <t>-</t>
        </is>
      </c>
      <c r="E2" s="8" t="inlineStr">
        <is>
          <t>모델명 필드=K코드</t>
        </is>
      </c>
      <c r="F2" s="8" t="inlineStr">
        <is>
          <t>213건 중 209건은 '모델명'(등록요청 C열) 값이 K코드와 동일함. 즉 등록요청/내역서 원본 파일의 '모델명' 필드가 실제 Aviat 모델번호가 아니라 K코드를 담고 있음. 본 정규화 결과의 '모델명(원본)' 컬럼은 참고용이며, 실제 모델 식별은 '품명' 텍스트를 사용할 것.</t>
        </is>
      </c>
      <c r="G2" s="8" t="inlineStr">
        <is>
          <t>확정(원본 직접 확인)</t>
        </is>
      </c>
    </row>
    <row r="3">
      <c r="A3" s="8" t="inlineStr">
        <is>
          <t>개별(코드 재부여 의심)</t>
        </is>
      </c>
      <c r="B3" s="8" t="n">
        <v>18</v>
      </c>
      <c r="C3" s="9" t="inlineStr">
        <is>
          <t>K9210281</t>
        </is>
      </c>
      <c r="D3" s="8" t="inlineStr">
        <is>
          <t>HAX_커넥터 KIT_IF 케이블 종단용</t>
        </is>
      </c>
      <c r="E3" s="8" t="inlineStr">
        <is>
          <t>모델명≠K코드(구코드 잔존)</t>
        </is>
      </c>
      <c r="F3" s="8" t="inlineStr">
        <is>
          <t>'모델명' 필드 값은 'K9090176'로 현재 K코드('K9210281')와 다름. 업체작성 표준BoM 양식(⑦ 파일)에서도 동일하게 구코드가 사용되고 있어, 계약 갱신 과정에서 K코드가 재부여되었을 가능성이 있음(확인 필요: 공급사에 정정 요청).</t>
        </is>
      </c>
      <c r="G3" s="8" t="inlineStr">
        <is>
          <t>확인 필요(공급사 확인)</t>
        </is>
      </c>
    </row>
    <row r="4">
      <c r="A4" s="8" t="inlineStr">
        <is>
          <t>개별(코드 재부여 의심)</t>
        </is>
      </c>
      <c r="B4" s="8" t="n">
        <v>21</v>
      </c>
      <c r="C4" s="9" t="inlineStr">
        <is>
          <t>K9210280</t>
        </is>
      </c>
      <c r="D4" s="8" t="inlineStr">
        <is>
          <t>HAX_Arrestor KIT("N"형 M,F콘넥터 각1EA 포함)</t>
        </is>
      </c>
      <c r="E4" s="8" t="inlineStr">
        <is>
          <t>모델명≠K코드(구코드 잔존)</t>
        </is>
      </c>
      <c r="F4" s="8" t="inlineStr">
        <is>
          <t>'모델명' 필드 값은 'K9090179'로 현재 K코드('K9210280')와 다름. 업체작성 표준BoM 양식(⑦ 파일)에서도 동일하게 구코드가 사용되고 있어, 계약 갱신 과정에서 K코드가 재부여되었을 가능성이 있음(확인 필요: 공급사에 정정 요청).</t>
        </is>
      </c>
      <c r="G4" s="8" t="inlineStr">
        <is>
          <t>확인 필요(공급사 확인)</t>
        </is>
      </c>
    </row>
    <row r="5">
      <c r="A5" s="8" t="inlineStr">
        <is>
          <t>개별(코드 재부여 의심)</t>
        </is>
      </c>
      <c r="B5" s="8" t="n">
        <v>34</v>
      </c>
      <c r="C5" s="9" t="inlineStr">
        <is>
          <t>K9210279</t>
        </is>
      </c>
      <c r="D5" s="8" t="inlineStr">
        <is>
          <t>HAX_Gigabit Ethernet SFP</t>
        </is>
      </c>
      <c r="E5" s="8" t="inlineStr">
        <is>
          <t>모델명≠K코드(구코드 잔존)</t>
        </is>
      </c>
      <c r="F5" s="8" t="inlineStr">
        <is>
          <t>'모델명' 필드 값은 'K9093723'로 현재 K코드('K9210279')와 다름. 업체작성 표준BoM 양식(⑦ 파일)에서도 동일하게 구코드가 사용되고 있어, 계약 갱신 과정에서 K코드가 재부여되었을 가능성이 있음(확인 필요: 공급사에 정정 요청).</t>
        </is>
      </c>
      <c r="G5" s="8" t="inlineStr">
        <is>
          <t>확인 필요(공급사 확인)</t>
        </is>
      </c>
    </row>
    <row r="6">
      <c r="A6" s="8" t="inlineStr">
        <is>
          <t>개별(코드 재부여 의심)</t>
        </is>
      </c>
      <c r="B6" s="8" t="n">
        <v>80</v>
      </c>
      <c r="C6" s="9" t="inlineStr">
        <is>
          <t>K9210278</t>
        </is>
      </c>
      <c r="D6" s="8" t="inlineStr">
        <is>
          <t>SFP TSoP STM-1/OC3 over Gig-E Module</t>
        </is>
      </c>
      <c r="E6" s="8" t="inlineStr">
        <is>
          <t>모델명≠K코드(구코드 잔존)</t>
        </is>
      </c>
      <c r="F6" s="8" t="inlineStr">
        <is>
          <t>'모델명' 필드 값은 'K9188156'로 현재 K코드('K9210278')와 다름. 업체작성 표준BoM 양식(⑦ 파일)에서도 동일하게 구코드가 사용되고 있어, 계약 갱신 과정에서 K코드가 재부여되었을 가능성이 있음(확인 필요: 공급사에 정정 요청).</t>
        </is>
      </c>
      <c r="G6" s="8" t="inlineStr">
        <is>
          <t>확인 필요(공급사 확인)</t>
        </is>
      </c>
    </row>
    <row r="7">
      <c r="A7" s="8" t="inlineStr">
        <is>
          <t>개별(품명/설명 불일치)</t>
        </is>
      </c>
      <c r="B7" s="8" t="n">
        <v>20</v>
      </c>
      <c r="C7" s="8" t="inlineStr">
        <is>
          <t>K9090178</t>
        </is>
      </c>
      <c r="D7" s="8" t="inlineStr">
        <is>
          <t>HAX_111G용 Waveguide WR90 UDR100/UDR100(3ft)</t>
        </is>
      </c>
      <c r="E7" s="9" t="inlineStr">
        <is>
          <t>주파수 표기 불일치/오타</t>
        </is>
      </c>
      <c r="F7" s="8" t="inlineStr">
        <is>
          <t>품명 또는 설명에 '111G' 형태 오타 의심(11GHz로 추정) (세부규격: 11Ghz용 W/G, ODU와 ANT연결용)</t>
        </is>
      </c>
      <c r="G7" s="8" t="inlineStr">
        <is>
          <t>확인 필요(공급사 확인)</t>
        </is>
      </c>
    </row>
    <row r="8">
      <c r="A8" s="8" t="inlineStr">
        <is>
          <t>개별(품명/설명 불일치)</t>
        </is>
      </c>
      <c r="B8" s="8" t="n">
        <v>48</v>
      </c>
      <c r="C8" s="8" t="inlineStr">
        <is>
          <t>K9119281</t>
        </is>
      </c>
      <c r="D8" s="8" t="inlineStr">
        <is>
          <t>HAX_6G용 W/G WR137 UDR70/PDR70</t>
        </is>
      </c>
      <c r="E8" s="9" t="inlineStr">
        <is>
          <t>주파수 표기 불일치/오타</t>
        </is>
      </c>
      <c r="F8" s="8" t="inlineStr">
        <is>
          <t>품명 주파수(6GHz)와 설명 주파수(8GHz) 불일치 (세부규격: 8Ghz용 W/G, ODU와 ANT연결용, 900mm)</t>
        </is>
      </c>
      <c r="G8" s="8" t="inlineStr">
        <is>
          <t>확인 필요(공급사 확인)</t>
        </is>
      </c>
    </row>
    <row r="9">
      <c r="A9" s="8" t="inlineStr">
        <is>
          <t>전체(공통)</t>
        </is>
      </c>
      <c r="B9" s="8" t="inlineStr">
        <is>
          <t>-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계약금액 개념 상이(확정, 수식 직접 확인)</t>
        </is>
      </c>
      <c r="F9" s="8" t="inlineStr">
        <is>
          <t>계약서('내역서' 시트) 헤더에 표기된 '계약금액 421,882,338원'은 내역서 H223셀 수식(=SUM(H10:H222), H=F×G, F(수량)는 전 행 1로 고정)의 계산 결과로, '213개 품목을 각 1개씩 구매한다고 가정했을 때의 판매단가 합계'임(확정: 내역서 F열이 모든 행에서 1, H223 캐시값이 421,882,338과 일치함을 직접 확인). 반면 '등록요청' 시트의 '수량'(I열, 총 16,890개)은 별도 목적(초도 예상물량 등으로 추정)의 값이며, 이를 판매단가와 곱한 합계는 1,879,149,964원으로 계약서 표기 금액과 전혀 다름. 본 파일의 '계약수량×판매단가(산출값)' 컬럼은 후자('등록요청' 수량 기준)이므로 계약서상 '계약금액'과 혼동하지 말 것. 또한 내역서 F223 수식 자체가 '=SUM(F10:F10)'으로 213개 행이 아닌 1개 행만 합산하도록 되어 있어(원본 수식 오류로 추정) 수량 합계 표시에는 사용할 수 없음.</t>
        </is>
      </c>
      <c r="G9" s="8" t="inlineStr">
        <is>
          <t>확정(원본 수식 직접 확인) / 해석은 확인 필요</t>
        </is>
      </c>
    </row>
    <row r="10">
      <c r="A10" s="8" t="inlineStr">
        <is>
          <t>전체(공통)</t>
        </is>
      </c>
      <c r="B10" s="8" t="inlineStr">
        <is>
          <t>-</t>
        </is>
      </c>
      <c r="C10" s="8" t="inlineStr">
        <is>
          <t>K9090174, K9210281, K9210280, K9210279, K9178534, K9188144, K9188147, K9188149, K9210278, K9188159, K9188160, K9198328, K9198330, K9198347, K9204022, K9204023, K9204026, K9204027, K9204028, K9204029, K9204030, K9204032, K9204033, K9204034, K9208698, K9208699, K9208700, K9208701, K9208702, K9208703, K9208704, K9208705, K9208706, K9208707, K9208708, K9208709, K9208710, K9208711, K9208714, K9208715, K9208716, K9208717, K9208718, K9208720, K9208721, K9208722, K9208723, K9208724, K9208725, K9208726, K9208727, K9208728, K9208729, K9208730, K9208731, K9208733, K9208734, K9210610, K9210611, K9210612, K9210613, K9210614, K9210615, K9210616, K9210617, K9210618, K9210619, K9210620, K9210621, K9210622, K9210623, K9210624, K9210625, K9210626, K9210631, K9210633, K9210635, K9210637</t>
        </is>
      </c>
      <c r="D10" s="8" t="inlineStr">
        <is>
          <t>-</t>
        </is>
      </c>
      <c r="E10" s="8" t="inlineStr">
        <is>
          <t>계약수량 셀 수식 오류</t>
        </is>
      </c>
      <c r="F10" s="8" t="inlineStr">
        <is>
          <t>78건의 '계약수량' 셀이 끊어진 외부 워크북 참조 수식(`_xlfn.XLOOKUP(...,[1]Sheet1!...)`)으로 되어 있음. 엑셀에 저장된 캐시값은 정상적으로 읽혀 사용했으나(원본정리 시트에 연한 녹색 배경으로 표시), 원본 파일을 재계산하면 값이 바뀌거나 오류가 날 수 있어 수치의 최신성은 확인 필요.</t>
        </is>
      </c>
      <c r="G10" s="8" t="inlineStr">
        <is>
          <t>확인 필요(원본 수식 복구 필요)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4" customWidth="1" min="4" max="4"/>
    <col width="14" customWidth="1" min="5" max="5"/>
    <col width="22" customWidth="1" min="6" max="6"/>
  </cols>
  <sheetData>
    <row r="1" ht="32" customHeight="1">
      <c r="A1" s="1" t="inlineStr">
        <is>
          <t>품목군</t>
        </is>
      </c>
      <c r="B1" s="1" t="inlineStr">
        <is>
          <t>품목수</t>
        </is>
      </c>
      <c r="C1" s="1" t="inlineStr">
        <is>
          <t>계약수량합계</t>
        </is>
      </c>
      <c r="D1" s="1" t="inlineStr">
        <is>
          <t>판매금액합계</t>
        </is>
      </c>
      <c r="E1" s="1" t="inlineStr">
        <is>
          <t>매입금액합계</t>
        </is>
      </c>
      <c r="F1" s="1" t="inlineStr">
        <is>
          <t>평균마진율</t>
        </is>
      </c>
    </row>
    <row r="2">
      <c r="A2" s="8" t="inlineStr">
        <is>
          <t>Rack</t>
        </is>
      </c>
      <c r="B2" s="8" t="n">
        <v>1</v>
      </c>
      <c r="C2" s="4" t="n">
        <v>0</v>
      </c>
      <c r="D2" s="4" t="n">
        <v>0</v>
      </c>
      <c r="E2" s="4" t="n">
        <v>0</v>
      </c>
      <c r="F2" s="5" t="n">
        <v>0.03798124063419236</v>
      </c>
    </row>
    <row r="3">
      <c r="A3" s="8" t="inlineStr">
        <is>
          <t>PDP/Power</t>
        </is>
      </c>
      <c r="B3" s="8" t="n">
        <v>5</v>
      </c>
      <c r="C3" s="4" t="n">
        <v>69</v>
      </c>
      <c r="D3" s="4" t="n">
        <v>42814620</v>
      </c>
      <c r="E3" s="4" t="n">
        <v>41928300</v>
      </c>
      <c r="F3" s="5" t="n">
        <v>0.03527234103352946</v>
      </c>
    </row>
    <row r="4">
      <c r="A4" s="8" t="inlineStr">
        <is>
          <t>IDU/Chassis</t>
        </is>
      </c>
      <c r="B4" s="8" t="n">
        <v>7</v>
      </c>
      <c r="C4" s="4" t="n">
        <v>71</v>
      </c>
      <c r="D4" s="4" t="n">
        <v>263997096</v>
      </c>
      <c r="E4" s="4" t="n">
        <v>258477128</v>
      </c>
      <c r="F4" s="5" t="n">
        <v>0.02307546550804345</v>
      </c>
    </row>
    <row r="5">
      <c r="A5" s="8" t="inlineStr">
        <is>
          <t>CPU/Control</t>
        </is>
      </c>
      <c r="B5" s="8" t="n">
        <v>6</v>
      </c>
      <c r="C5" s="4" t="n">
        <v>88</v>
      </c>
      <c r="D5" s="4" t="n">
        <v>103757020</v>
      </c>
      <c r="E5" s="4" t="n">
        <v>101681878</v>
      </c>
      <c r="F5" s="5" t="n">
        <v>0.0184150180823319</v>
      </c>
    </row>
    <row r="6">
      <c r="A6" s="8" t="inlineStr">
        <is>
          <t>Fan</t>
        </is>
      </c>
      <c r="B6" s="8" t="n">
        <v>5</v>
      </c>
      <c r="C6" s="4" t="n">
        <v>89</v>
      </c>
      <c r="D6" s="4" t="n">
        <v>51849392</v>
      </c>
      <c r="E6" s="4" t="n">
        <v>50812386</v>
      </c>
      <c r="F6" s="5" t="n">
        <v>0.02729242679533411</v>
      </c>
    </row>
    <row r="7">
      <c r="A7" s="8" t="inlineStr">
        <is>
          <t>Modem</t>
        </is>
      </c>
      <c r="B7" s="8" t="n">
        <v>3</v>
      </c>
      <c r="C7" s="4" t="n">
        <v>404</v>
      </c>
      <c r="D7" s="4" t="n">
        <v>116540638</v>
      </c>
      <c r="E7" s="4" t="n">
        <v>114209678</v>
      </c>
      <c r="F7" s="5" t="n">
        <v>0.02352046856434054</v>
      </c>
    </row>
    <row r="8">
      <c r="A8" s="8" t="inlineStr">
        <is>
          <t>Interface Card</t>
        </is>
      </c>
      <c r="B8" s="8" t="n">
        <v>16</v>
      </c>
      <c r="C8" s="4" t="n">
        <v>112</v>
      </c>
      <c r="D8" s="4" t="n">
        <v>111526540</v>
      </c>
      <c r="E8" s="4" t="n">
        <v>109296042</v>
      </c>
      <c r="F8" s="5" t="n">
        <v>0.04511756446825942</v>
      </c>
    </row>
    <row r="9">
      <c r="A9" s="8" t="inlineStr">
        <is>
          <t>ODU/RFU</t>
        </is>
      </c>
      <c r="B9" s="8" t="n">
        <v>47</v>
      </c>
      <c r="C9" s="4" t="n">
        <v>14310</v>
      </c>
      <c r="D9" s="4" t="n">
        <v>569790730</v>
      </c>
      <c r="E9" s="4" t="n">
        <v>557204400</v>
      </c>
      <c r="F9" s="5" t="n">
        <v>0.05523368702375139</v>
      </c>
    </row>
    <row r="10">
      <c r="A10" s="8" t="inlineStr">
        <is>
          <t>WTM</t>
        </is>
      </c>
      <c r="B10" s="8" t="n">
        <v>12</v>
      </c>
      <c r="C10" s="4" t="n">
        <v>12</v>
      </c>
      <c r="D10" s="4" t="n">
        <v>72000000</v>
      </c>
      <c r="E10" s="4" t="n">
        <v>70560000</v>
      </c>
      <c r="F10" s="5" t="n">
        <v>0.04416666666666667</v>
      </c>
    </row>
    <row r="11">
      <c r="A11" s="8" t="inlineStr">
        <is>
          <t>WBX</t>
        </is>
      </c>
      <c r="B11" s="8" t="n">
        <v>12</v>
      </c>
      <c r="C11" s="4" t="n">
        <v>8</v>
      </c>
      <c r="D11" s="4" t="n">
        <v>55500000</v>
      </c>
      <c r="E11" s="4" t="n">
        <v>54390000</v>
      </c>
      <c r="F11" s="5" t="n">
        <v>0.02666666666666667</v>
      </c>
    </row>
    <row r="12">
      <c r="A12" s="8" t="inlineStr">
        <is>
          <t>OBC2</t>
        </is>
      </c>
      <c r="B12" s="8" t="n">
        <v>3</v>
      </c>
      <c r="C12" s="4" t="n">
        <v>90</v>
      </c>
      <c r="D12" s="4" t="n">
        <v>83306520</v>
      </c>
      <c r="E12" s="4" t="n">
        <v>81640110</v>
      </c>
      <c r="F12" s="5" t="n">
        <v>0.02000227593230398</v>
      </c>
    </row>
    <row r="13">
      <c r="A13" s="8" t="inlineStr">
        <is>
          <t>Duplexer</t>
        </is>
      </c>
      <c r="B13" s="8" t="n">
        <v>3</v>
      </c>
      <c r="C13" s="4" t="n">
        <v>24</v>
      </c>
      <c r="D13" s="4" t="n">
        <v>5511240</v>
      </c>
      <c r="E13" s="4" t="n">
        <v>5400984</v>
      </c>
      <c r="F13" s="5" t="n">
        <v>0.02000420957896952</v>
      </c>
    </row>
    <row r="14">
      <c r="A14" s="8" t="inlineStr">
        <is>
          <t>Coupler/Hybrid</t>
        </is>
      </c>
      <c r="B14" s="8" t="n">
        <v>8</v>
      </c>
      <c r="C14" s="4" t="n">
        <v>50</v>
      </c>
      <c r="D14" s="4" t="n">
        <v>58046650</v>
      </c>
      <c r="E14" s="4" t="n">
        <v>56885684</v>
      </c>
      <c r="F14" s="5" t="n">
        <v>0.02857300688607261</v>
      </c>
    </row>
    <row r="15">
      <c r="A15" s="8" t="inlineStr">
        <is>
          <t>Mount/Bracket</t>
        </is>
      </c>
      <c r="B15" s="8" t="n">
        <v>11</v>
      </c>
      <c r="C15" s="4" t="n">
        <v>87</v>
      </c>
      <c r="D15" s="4" t="n">
        <v>24161052</v>
      </c>
      <c r="E15" s="4" t="n">
        <v>23625310</v>
      </c>
      <c r="F15" s="5" t="n">
        <v>0.02823664889058176</v>
      </c>
    </row>
    <row r="16">
      <c r="A16" s="8" t="inlineStr">
        <is>
          <t>Antenna</t>
        </is>
      </c>
      <c r="B16" s="8" t="n">
        <v>10</v>
      </c>
      <c r="C16" s="4" t="n">
        <v>5</v>
      </c>
      <c r="D16" s="4" t="n">
        <v>22800000</v>
      </c>
      <c r="E16" s="4" t="n">
        <v>22116000</v>
      </c>
      <c r="F16" s="5" t="n">
        <v>0.03000000000000001</v>
      </c>
    </row>
    <row r="17">
      <c r="A17" s="8" t="inlineStr">
        <is>
          <t>Waveguide</t>
        </is>
      </c>
      <c r="B17" s="8" t="n">
        <v>11</v>
      </c>
      <c r="C17" s="4" t="n">
        <v>130</v>
      </c>
      <c r="D17" s="4" t="n">
        <v>53940000</v>
      </c>
      <c r="E17" s="4" t="n">
        <v>52861200</v>
      </c>
      <c r="F17" s="5" t="n">
        <v>0.02884240978969514</v>
      </c>
    </row>
    <row r="18">
      <c r="A18" s="8" t="inlineStr">
        <is>
          <t>Cable</t>
        </is>
      </c>
      <c r="B18" s="8" t="n">
        <v>17</v>
      </c>
      <c r="C18" s="4" t="n">
        <v>454</v>
      </c>
      <c r="D18" s="4" t="n">
        <v>63103250</v>
      </c>
      <c r="E18" s="4" t="n">
        <v>61421750</v>
      </c>
      <c r="F18" s="5" t="n">
        <v>0.03260925931129395</v>
      </c>
    </row>
    <row r="19">
      <c r="A19" s="8" t="inlineStr">
        <is>
          <t>Connector</t>
        </is>
      </c>
      <c r="B19" s="8" t="n">
        <v>3</v>
      </c>
      <c r="C19" s="4" t="n">
        <v>24</v>
      </c>
      <c r="D19" s="4" t="n">
        <v>9000000</v>
      </c>
      <c r="E19" s="4" t="n">
        <v>8820000</v>
      </c>
      <c r="F19" s="5" t="n">
        <v>0.0279923518164436</v>
      </c>
    </row>
    <row r="20">
      <c r="A20" s="8" t="inlineStr">
        <is>
          <t>SFP/Optical Module</t>
        </is>
      </c>
      <c r="B20" s="8" t="n">
        <v>2</v>
      </c>
      <c r="C20" s="4" t="n">
        <v>324</v>
      </c>
      <c r="D20" s="4" t="n">
        <v>24034320</v>
      </c>
      <c r="E20" s="4" t="n">
        <v>22680000</v>
      </c>
      <c r="F20" s="5" t="n">
        <v>0.05783732147764681</v>
      </c>
    </row>
    <row r="21">
      <c r="A21" s="8" t="inlineStr">
        <is>
          <t>Surge/Grounding</t>
        </is>
      </c>
      <c r="B21" s="8" t="n">
        <v>6</v>
      </c>
      <c r="C21" s="4" t="n">
        <v>372</v>
      </c>
      <c r="D21" s="4" t="n">
        <v>49032360</v>
      </c>
      <c r="E21" s="4" t="n">
        <v>46765200</v>
      </c>
      <c r="F21" s="5" t="n">
        <v>0.03802464239443695</v>
      </c>
    </row>
    <row r="22">
      <c r="A22" s="8" t="inlineStr">
        <is>
          <t>License</t>
        </is>
      </c>
      <c r="B22" s="8" t="n">
        <v>12</v>
      </c>
      <c r="C22" s="4" t="n">
        <v>75</v>
      </c>
      <c r="D22" s="4" t="n">
        <v>90350000</v>
      </c>
      <c r="E22" s="4" t="n">
        <v>88093000</v>
      </c>
      <c r="F22" s="5" t="n">
        <v>0.02987122865068835</v>
      </c>
    </row>
    <row r="23">
      <c r="A23" s="8" t="inlineStr">
        <is>
          <t>NMS/EMS</t>
        </is>
      </c>
      <c r="B23" s="8" t="n">
        <v>2</v>
      </c>
      <c r="C23" s="4" t="n">
        <v>0</v>
      </c>
      <c r="D23" s="4" t="n">
        <v>0</v>
      </c>
      <c r="E23" s="4" t="n">
        <v>0</v>
      </c>
      <c r="F23" s="5" t="n">
        <v>0.03821287035289677</v>
      </c>
    </row>
    <row r="24">
      <c r="A24" s="8" t="inlineStr">
        <is>
          <t>PC/운영장비</t>
        </is>
      </c>
      <c r="B24" s="8" t="n">
        <v>4</v>
      </c>
      <c r="C24" s="4" t="n">
        <v>0</v>
      </c>
      <c r="D24" s="4" t="n">
        <v>0</v>
      </c>
      <c r="E24" s="4" t="n">
        <v>0</v>
      </c>
      <c r="F24" s="5" t="n">
        <v>0.02689796368846773</v>
      </c>
    </row>
    <row r="25">
      <c r="A25" s="8" t="inlineStr">
        <is>
          <t>기타</t>
        </is>
      </c>
      <c r="B25" s="8" t="n">
        <v>7</v>
      </c>
      <c r="C25" s="4" t="n">
        <v>92</v>
      </c>
      <c r="D25" s="4" t="n">
        <v>8088536</v>
      </c>
      <c r="E25" s="4" t="n">
        <v>7922760</v>
      </c>
      <c r="F25" s="5" t="n">
        <v>0.02759357568517477</v>
      </c>
    </row>
    <row r="26">
      <c r="A26" s="8" t="inlineStr">
        <is>
          <t>합계</t>
        </is>
      </c>
      <c r="B26" s="8" t="n">
        <v>213</v>
      </c>
      <c r="C26" s="4" t="n">
        <v>16890</v>
      </c>
      <c r="D26" s="4" t="n">
        <v>1879149964</v>
      </c>
      <c r="E26" s="4" t="n">
        <v>1836791810</v>
      </c>
      <c r="F26" s="5" t="n"/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2026-09-04T07:09:07Z</dcterms:created>
  <dcterms:modified xmlns:dcterms="http://purl.org/dc/terms/" xmlns:xsi="http://www.w3.org/2001/XMLSchema-instance" xsi:type="dcterms:W3CDTF">2026-09-04T07:09:07Z</dcterms:modified>
</cp:coreProperties>
</file>